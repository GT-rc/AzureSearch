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66925"/>
  <mc:AlternateContent xmlns:mc="http://schemas.openxmlformats.org/markup-compatibility/2006">
    <mc:Choice Requires="x15">
      <x15ac:absPath xmlns:x15ac="http://schemas.microsoft.com/office/spreadsheetml/2010/11/ac" url="https://microsoft-my.sharepoint.com/personal/mcarter_microsoft_com/Documents/"/>
    </mc:Choice>
  </mc:AlternateContent>
  <xr:revisionPtr revIDLastSave="0" documentId="8_{5AEDBFF6-26A6-46F7-A3E8-6C7BBD0F592B}" xr6:coauthVersionLast="38" xr6:coauthVersionMax="38" xr10:uidLastSave="{00000000-0000-0000-0000-000000000000}"/>
  <bookViews>
    <workbookView xWindow="0" yWindow="0" windowWidth="28800" windowHeight="11565" activeTab="1" xr2:uid="{6A6EFA8C-6B79-4F69-B290-EA96A41F3BE3}"/>
  </bookViews>
  <sheets>
    <sheet name="Hotels" sheetId="1" r:id="rId1"/>
    <sheet name="Rooms" sheetId="2" r:id="rId2"/>
    <sheet name="Data Sources" sheetId="3" r:id="rId3"/>
  </sheet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3" i="1" l="1"/>
  <c r="F3" i="1"/>
  <c r="G3" i="1"/>
  <c r="H3" i="1"/>
  <c r="I3" i="1"/>
  <c r="J3" i="1"/>
  <c r="E4" i="1"/>
  <c r="F4" i="1"/>
  <c r="G4" i="1"/>
  <c r="H4" i="1"/>
  <c r="I4" i="1"/>
  <c r="J4" i="1"/>
  <c r="E5" i="1"/>
  <c r="F5" i="1"/>
  <c r="G5" i="1"/>
  <c r="H5" i="1"/>
  <c r="I5" i="1"/>
  <c r="J5" i="1"/>
  <c r="E6" i="1"/>
  <c r="F6" i="1"/>
  <c r="G6" i="1"/>
  <c r="H6" i="1"/>
  <c r="I6" i="1"/>
  <c r="J6" i="1"/>
  <c r="E7" i="1"/>
  <c r="F7" i="1"/>
  <c r="G7" i="1"/>
  <c r="H7" i="1"/>
  <c r="I7" i="1"/>
  <c r="J7" i="1"/>
  <c r="E8" i="1"/>
  <c r="F8" i="1"/>
  <c r="G8" i="1"/>
  <c r="H8" i="1"/>
  <c r="I8" i="1"/>
  <c r="J8" i="1"/>
  <c r="E9" i="1"/>
  <c r="F9" i="1"/>
  <c r="G9" i="1"/>
  <c r="H9" i="1"/>
  <c r="I9" i="1"/>
  <c r="J9" i="1"/>
  <c r="E10" i="1"/>
  <c r="F10" i="1"/>
  <c r="G10" i="1"/>
  <c r="H10" i="1"/>
  <c r="I10" i="1"/>
  <c r="J10" i="1"/>
  <c r="E11" i="1"/>
  <c r="F11" i="1"/>
  <c r="G11" i="1"/>
  <c r="H11" i="1"/>
  <c r="I11" i="1"/>
  <c r="J11" i="1"/>
  <c r="E12" i="1"/>
  <c r="F12" i="1"/>
  <c r="G12" i="1"/>
  <c r="H12" i="1"/>
  <c r="I12" i="1"/>
  <c r="J12" i="1"/>
  <c r="E13" i="1"/>
  <c r="F13" i="1"/>
  <c r="G13" i="1"/>
  <c r="H13" i="1"/>
  <c r="I13" i="1"/>
  <c r="J13" i="1"/>
  <c r="E14" i="1"/>
  <c r="F14" i="1"/>
  <c r="G14" i="1"/>
  <c r="H14" i="1"/>
  <c r="I14" i="1"/>
  <c r="J14" i="1"/>
  <c r="E15" i="1"/>
  <c r="F15" i="1"/>
  <c r="G15" i="1"/>
  <c r="H15" i="1"/>
  <c r="I15" i="1"/>
  <c r="J15" i="1"/>
  <c r="E16" i="1"/>
  <c r="F16" i="1"/>
  <c r="G16" i="1"/>
  <c r="H16" i="1"/>
  <c r="I16" i="1"/>
  <c r="J16" i="1"/>
  <c r="E17" i="1"/>
  <c r="F17" i="1"/>
  <c r="G17" i="1"/>
  <c r="H17" i="1"/>
  <c r="I17" i="1"/>
  <c r="J17" i="1"/>
  <c r="E18" i="1"/>
  <c r="F18" i="1"/>
  <c r="G18" i="1"/>
  <c r="H18" i="1"/>
  <c r="I18" i="1"/>
  <c r="J18" i="1"/>
  <c r="E19" i="1"/>
  <c r="F19" i="1"/>
  <c r="G19" i="1"/>
  <c r="H19" i="1"/>
  <c r="I19" i="1"/>
  <c r="J19" i="1"/>
  <c r="E20" i="1"/>
  <c r="F20" i="1"/>
  <c r="G20" i="1"/>
  <c r="H20" i="1"/>
  <c r="I20" i="1"/>
  <c r="J20" i="1"/>
  <c r="E21" i="1"/>
  <c r="F21" i="1"/>
  <c r="G21" i="1"/>
  <c r="H21" i="1"/>
  <c r="I21" i="1"/>
  <c r="J21" i="1"/>
  <c r="E22" i="1"/>
  <c r="F22" i="1"/>
  <c r="G22" i="1"/>
  <c r="H22" i="1"/>
  <c r="I22" i="1"/>
  <c r="J22" i="1"/>
  <c r="E23" i="1"/>
  <c r="F23" i="1"/>
  <c r="G23" i="1"/>
  <c r="H23" i="1"/>
  <c r="I23" i="1"/>
  <c r="J23" i="1"/>
  <c r="E24" i="1"/>
  <c r="F24" i="1"/>
  <c r="G24" i="1"/>
  <c r="H24" i="1"/>
  <c r="I24" i="1"/>
  <c r="J24" i="1"/>
  <c r="E25" i="1"/>
  <c r="F25" i="1"/>
  <c r="G25" i="1"/>
  <c r="H25" i="1"/>
  <c r="I25" i="1"/>
  <c r="J25" i="1"/>
  <c r="E26" i="1"/>
  <c r="F26" i="1"/>
  <c r="G26" i="1"/>
  <c r="H26" i="1"/>
  <c r="I26" i="1"/>
  <c r="J26" i="1"/>
  <c r="E27" i="1"/>
  <c r="F27" i="1"/>
  <c r="G27" i="1"/>
  <c r="H27" i="1"/>
  <c r="I27" i="1"/>
  <c r="J27" i="1"/>
  <c r="E28" i="1"/>
  <c r="F28" i="1"/>
  <c r="G28" i="1"/>
  <c r="H28" i="1"/>
  <c r="I28" i="1"/>
  <c r="J28" i="1"/>
  <c r="E29" i="1"/>
  <c r="F29" i="1"/>
  <c r="G29" i="1"/>
  <c r="H29" i="1"/>
  <c r="I29" i="1"/>
  <c r="J29" i="1"/>
  <c r="E30" i="1"/>
  <c r="F30" i="1"/>
  <c r="G30" i="1"/>
  <c r="H30" i="1"/>
  <c r="I30" i="1"/>
  <c r="J30" i="1"/>
  <c r="E31" i="1"/>
  <c r="F31" i="1"/>
  <c r="G31" i="1"/>
  <c r="H31" i="1"/>
  <c r="I31" i="1"/>
  <c r="J31" i="1"/>
  <c r="E32" i="1"/>
  <c r="F32" i="1"/>
  <c r="G32" i="1"/>
  <c r="H32" i="1"/>
  <c r="I32" i="1"/>
  <c r="J32" i="1"/>
  <c r="E33" i="1"/>
  <c r="F33" i="1"/>
  <c r="G33" i="1"/>
  <c r="H33" i="1"/>
  <c r="I33" i="1"/>
  <c r="J33" i="1"/>
  <c r="E34" i="1"/>
  <c r="F34" i="1"/>
  <c r="G34" i="1"/>
  <c r="H34" i="1"/>
  <c r="I34" i="1"/>
  <c r="J34" i="1"/>
  <c r="E35" i="1"/>
  <c r="F35" i="1"/>
  <c r="G35" i="1"/>
  <c r="H35" i="1"/>
  <c r="I35" i="1"/>
  <c r="J35" i="1"/>
  <c r="E36" i="1"/>
  <c r="F36" i="1"/>
  <c r="G36" i="1"/>
  <c r="H36" i="1"/>
  <c r="I36" i="1"/>
  <c r="J36" i="1"/>
  <c r="E37" i="1"/>
  <c r="F37" i="1"/>
  <c r="G37" i="1"/>
  <c r="H37" i="1"/>
  <c r="I37" i="1"/>
  <c r="J37" i="1"/>
  <c r="E38" i="1"/>
  <c r="F38" i="1"/>
  <c r="G38" i="1"/>
  <c r="H38" i="1"/>
  <c r="I38" i="1"/>
  <c r="J38" i="1"/>
  <c r="E39" i="1"/>
  <c r="F39" i="1"/>
  <c r="G39" i="1"/>
  <c r="H39" i="1"/>
  <c r="I39" i="1"/>
  <c r="J39" i="1"/>
  <c r="E40" i="1"/>
  <c r="F40" i="1"/>
  <c r="G40" i="1"/>
  <c r="H40" i="1"/>
  <c r="I40" i="1"/>
  <c r="J40" i="1"/>
  <c r="E41" i="1"/>
  <c r="F41" i="1"/>
  <c r="G41" i="1"/>
  <c r="H41" i="1"/>
  <c r="I41" i="1"/>
  <c r="J41" i="1"/>
  <c r="E42" i="1"/>
  <c r="F42" i="1"/>
  <c r="G42" i="1"/>
  <c r="H42" i="1"/>
  <c r="I42" i="1"/>
  <c r="J42" i="1"/>
  <c r="E43" i="1"/>
  <c r="F43" i="1"/>
  <c r="G43" i="1"/>
  <c r="H43" i="1"/>
  <c r="I43" i="1"/>
  <c r="J43" i="1"/>
  <c r="E44" i="1"/>
  <c r="F44" i="1"/>
  <c r="G44" i="1"/>
  <c r="H44" i="1"/>
  <c r="I44" i="1"/>
  <c r="J44" i="1"/>
  <c r="E45" i="1"/>
  <c r="F45" i="1"/>
  <c r="G45" i="1"/>
  <c r="H45" i="1"/>
  <c r="I45" i="1"/>
  <c r="J45" i="1"/>
  <c r="E46" i="1"/>
  <c r="F46" i="1"/>
  <c r="G46" i="1"/>
  <c r="H46" i="1"/>
  <c r="I46" i="1"/>
  <c r="J46" i="1"/>
  <c r="E47" i="1"/>
  <c r="F47" i="1"/>
  <c r="G47" i="1"/>
  <c r="H47" i="1"/>
  <c r="I47" i="1"/>
  <c r="J47" i="1"/>
  <c r="E48" i="1"/>
  <c r="F48" i="1"/>
  <c r="G48" i="1"/>
  <c r="H48" i="1"/>
  <c r="I48" i="1"/>
  <c r="J48" i="1"/>
  <c r="E49" i="1"/>
  <c r="F49" i="1"/>
  <c r="G49" i="1"/>
  <c r="H49" i="1"/>
  <c r="I49" i="1"/>
  <c r="J49" i="1"/>
  <c r="E50" i="1"/>
  <c r="F50" i="1"/>
  <c r="G50" i="1"/>
  <c r="H50" i="1"/>
  <c r="I50" i="1"/>
  <c r="J50" i="1"/>
  <c r="E51" i="1"/>
  <c r="F51" i="1"/>
  <c r="G51" i="1"/>
  <c r="H51" i="1"/>
  <c r="I51" i="1"/>
  <c r="J51" i="1"/>
  <c r="G2" i="1"/>
  <c r="H2" i="1"/>
  <c r="F2" i="1"/>
  <c r="E2" i="1"/>
  <c r="J2" i="1"/>
  <c r="I2" i="1"/>
</calcChain>
</file>

<file path=xl/sharedStrings.xml><?xml version="1.0" encoding="utf-8"?>
<sst xmlns="http://schemas.openxmlformats.org/spreadsheetml/2006/main" count="3244" uniqueCount="522">
  <si>
    <t>HotelId</t>
  </si>
  <si>
    <t>BaseRate</t>
  </si>
  <si>
    <t>Description</t>
  </si>
  <si>
    <t>HotelName</t>
  </si>
  <si>
    <t>description_fr</t>
  </si>
  <si>
    <t>Category</t>
  </si>
  <si>
    <t>Tags</t>
  </si>
  <si>
    <t>ParkingIncluded</t>
  </si>
  <si>
    <t>SmokingAllowed</t>
  </si>
  <si>
    <t>LastRenovationDate</t>
  </si>
  <si>
    <t>Rating</t>
  </si>
  <si>
    <t>Type</t>
  </si>
  <si>
    <t>Secret Point Motel</t>
  </si>
  <si>
    <t>Twin Dome Motel</t>
  </si>
  <si>
    <t>Triple Landscape Hotel</t>
  </si>
  <si>
    <t>Sublime Cliff Hotel</t>
  </si>
  <si>
    <t>Scarlet Harbor Hotel</t>
  </si>
  <si>
    <t>King's Palace Hotel</t>
  </si>
  <si>
    <t>Countryside Resort</t>
  </si>
  <si>
    <t>Sapphire Resort</t>
  </si>
  <si>
    <t>Smile Hotel</t>
  </si>
  <si>
    <t>Countryside Hotel</t>
  </si>
  <si>
    <t>Regal Orb Resort &amp; Spa</t>
  </si>
  <si>
    <t>Winter Panorama Resort</t>
  </si>
  <si>
    <t>Historic Lion Resort</t>
  </si>
  <si>
    <t>Twin Vertex Hotel</t>
  </si>
  <si>
    <t>Peaceful Market Hotel &amp; Spa</t>
  </si>
  <si>
    <t>Double Sanctuary Resort</t>
  </si>
  <si>
    <t>Antiquity Hotel</t>
  </si>
  <si>
    <t>Oceanside Resort</t>
  </si>
  <si>
    <t>Universe Motel</t>
  </si>
  <si>
    <t>Travel Resort</t>
  </si>
  <si>
    <t>Nova Hotel &amp; Spa</t>
  </si>
  <si>
    <t>Stone Lion Inn</t>
  </si>
  <si>
    <t>Days Hotel</t>
  </si>
  <si>
    <t>Gacc Capital</t>
  </si>
  <si>
    <t>Scottish Inn</t>
  </si>
  <si>
    <t>Marquis Plaza &amp; Suites</t>
  </si>
  <si>
    <t>Super Deluxe Inn &amp; Suites</t>
  </si>
  <si>
    <t>Summer Wind Resort</t>
  </si>
  <si>
    <t>Thompson House</t>
  </si>
  <si>
    <t>Catfish Creek Fishing Cabins</t>
  </si>
  <si>
    <t>Santa Fe Stay</t>
  </si>
  <si>
    <t>Goldmoor Inn</t>
  </si>
  <si>
    <t>Mottelers Thunderbird Motel</t>
  </si>
  <si>
    <t>Cap'n Jack's Waterfront Inn</t>
  </si>
  <si>
    <t>Suites At Key Largo</t>
  </si>
  <si>
    <t>Pelham Hotel</t>
  </si>
  <si>
    <t>Commander Hotel</t>
  </si>
  <si>
    <t>Lady Of The Lake B &amp; B</t>
  </si>
  <si>
    <t>Whitefish Lodge &amp; Suites</t>
  </si>
  <si>
    <t>Trails End Motel</t>
  </si>
  <si>
    <t>Ocean Air Motel</t>
  </si>
  <si>
    <t>Veteran Right Track</t>
  </si>
  <si>
    <t>Arcadia Resort &amp; Restaurant</t>
  </si>
  <si>
    <t>Swan Point Inn</t>
  </si>
  <si>
    <t>South Court Inn B &amp; B</t>
  </si>
  <si>
    <t>Nordick's Motel</t>
  </si>
  <si>
    <t>Old Carrabelle Hotel</t>
  </si>
  <si>
    <t>Pull'r Inn Motel</t>
  </si>
  <si>
    <t>The hotel is ideally located on the main commercial artery of the city in the heart of New York. A few minutes away is Time's Square and the historic centre of the city, as well as other places of interest that make New York one of America's most attractive and cosmopolitan cities.</t>
  </si>
  <si>
    <t>L'hôtel est idéalement situé sur la principale artère commerciale de la ville en plein cœur de New York. A quelques minutes se trouve la place du temps et le centre historique de la ville, ainsi que d'autres lieux d'intérêt qui font de New York l'une des villes les plus attractives et cosmopolites de l'Amérique.</t>
  </si>
  <si>
    <t>Luxury</t>
  </si>
  <si>
    <t>Categories</t>
  </si>
  <si>
    <t>Base Rates</t>
  </si>
  <si>
    <t>Budget</t>
  </si>
  <si>
    <t>Suite</t>
  </si>
  <si>
    <t>Boutique</t>
  </si>
  <si>
    <t>Resort and Spa</t>
  </si>
  <si>
    <t>Extended-Stay</t>
  </si>
  <si>
    <t>pool</t>
  </si>
  <si>
    <t>view</t>
  </si>
  <si>
    <t>concierge</t>
  </si>
  <si>
    <t>continental breakfast</t>
  </si>
  <si>
    <t>restaurant</t>
  </si>
  <si>
    <t>free wifi</t>
  </si>
  <si>
    <t>free parking</t>
  </si>
  <si>
    <t>24-hour front desk service</t>
  </si>
  <si>
    <t>bar</t>
  </si>
  <si>
    <t>air conditioning</t>
  </si>
  <si>
    <t>coffee in lobby</t>
  </si>
  <si>
    <t>Hotel Tags</t>
  </si>
  <si>
    <t>Room Tags</t>
  </si>
  <si>
    <t>bathroom shower</t>
  </si>
  <si>
    <t>jacuzzi tub</t>
  </si>
  <si>
    <t>suite</t>
  </si>
  <si>
    <t>tv</t>
  </si>
  <si>
    <t>vcr/dvd</t>
  </si>
  <si>
    <t>coffee maker</t>
  </si>
  <si>
    <t>premium bedding</t>
  </si>
  <si>
    <t>laundry service</t>
  </si>
  <si>
    <t>The hotel is situated in a  nineteenth century plaza, which has been expanded and renovated to the highest architectural standards to create a modern, functional and first-class hotel in which art and unique historical elements coexist with the most modern comforts.</t>
  </si>
  <si>
    <t>The Hotel stands out for its gastronomic excellence under the management of William Dough, who advises on and oversees all of the Hotel’s restaurant services.</t>
  </si>
  <si>
    <t>Sublime Cliff Hotel is located in the heart of the historic center of Sublime in an extremely vibrant and lively area within short walking distance to the sites and landmarks of the city and is surrounded by the extraordinary beauty of churches, buildings, shops and monuments. Sublime Cliff is part of a lovingly restored 1800 palace.</t>
  </si>
  <si>
    <t>On entering this charming hotel in Scarlet Harbor, you will immediately sense its special intimate atmosphere that makes you feel like being in your own home.  Each detail has been passionately chosen and each room deserves a visit. The style mixes valuable antiques and original artworks with an unexpected eclectic contemporary twist. The entire hotel recalls times past where young aristocrats lived while discovering the beauty and the artistic mysteries of the area.</t>
  </si>
  <si>
    <t>Newest kid on the downtown block.  Steps away from the most popular destinations in downtown, enjoy free WiFi, an indoor rooftop pool &amp; fitness center, 24 Grab'n'Go &amp; drinks at the bar</t>
  </si>
  <si>
    <t>Perfect Location on Main Street.  Earn points while enjoying close proximity to the city's best shopping, restaurants, and attractions.</t>
  </si>
  <si>
    <t>Downtown, close to everything, steps to the park, shopping, and restaurants.</t>
  </si>
  <si>
    <t>Experience the fresh, modern downtown.  Enjoy updated rooms, bold style &amp; prime location. Don't miss our weekend live music series featuring who's new/next on the scene.</t>
  </si>
  <si>
    <t>Save up to 50% off traditional hotels.  Free WiFi, great location near downtown, full kitchen, washer &amp; dryer, 24/7 support, bowling alley, fitness center and more.</t>
  </si>
  <si>
    <t>Your home away from home. Brand new fully equipped premium rooms, fast WiFi, full kitchen, washer &amp; dryer, fitness center</t>
  </si>
  <si>
    <t>Newly-renovated with large rooms, free 24-hr airport shuttle &amp; a new restaurant. Rooms/suites offer mini-fridges &amp; 49-inch HDTVs.</t>
  </si>
  <si>
    <t>Unmatched Luxury.  Visit our downtown hotel to indulge in luxury accommodations. Moments from the stadium, we feature the best in comfort</t>
  </si>
  <si>
    <t>New experience in the Making.  Be the first to experience the luxury of the Twin Vertex. Reserve one of our newly-renovated guest rooms today.</t>
  </si>
  <si>
    <t>Book now and Save up to 30%.  Central location. Steps from Empire State Building &amp; Times Square, in Chelsea neighborhood. Brand new rooms. Impeccable service.</t>
  </si>
  <si>
    <t>5* Luxury Hotel - Biggest Rooms in the city.  #1 Hotel in the area listed by Conde Nast Traveler. Free WiFi, Flexible check in/out, Fitness Center &amp; Nespresso in room.</t>
  </si>
  <si>
    <t>Elevate Your Experience.  Upgrade to a premiere city skyline view for less, with dramatic views of the city, local cathedral and midtown.</t>
  </si>
  <si>
    <t>New Luxury Hotel.  Be the first to stay. Bay views from every room, location near the piper, rooftop pool, waterfront dining &amp; more.</t>
  </si>
  <si>
    <t>Book Now &amp; Save.  Clean, Comfortable rooms at the lowest price. Enjoy complimentary coffee and tea in common areas.</t>
  </si>
  <si>
    <t>The Best Gaming Resort in the area.  With elegant rooms &amp; suites, pool, cabanas, spa, brewery &amp; world-class gaming.  This is the best place to play, stay &amp; dine.</t>
  </si>
  <si>
    <t>1 Mile from the airport.  Free WiFi, Outdoor Pool, Complimentary Airport Shuttle, 6 miles from the beach &amp; 10 miles from downtown.</t>
  </si>
  <si>
    <t>Full breakfast buffet for 2 for only $1.  Excited to show off our room upgrades, faster high speed WiFi, updated corridors &amp; meeting space. Come relax and enjoy your stay.</t>
  </si>
  <si>
    <t>Mix and mingle in the heart of the city.  Shop and dine, mix and mingle in the heart of downtown, where fab lake views unite with a cheeky design.</t>
  </si>
  <si>
    <t>Chic hotel near the city.  High-rise hotel in downtown, walking distance to theaters, restaurants and shops, complete with wellness programs.</t>
  </si>
  <si>
    <t>Newly Redesigned Rooms &amp; airport shuttle.  Minutes from the airport, enjoy lakeside amenities, a resort-style pool &amp; stylish new guestrooms with Internet TVs.</t>
  </si>
  <si>
    <t>Extend Your Stay.  Spend a day with the ocean life at the aquarium, then come home to amenities like free Wi-Fi, full kitchen, and free breakfast buffet</t>
  </si>
  <si>
    <t>Complimentary Airport Shuttle &amp; WiFi.  Book Now and save - Spacious All Suite Hotel, Indoor/Outdoor Pool, Fitness Center, Florida Green certified, Starbucks Coffee, HDTV</t>
  </si>
  <si>
    <t>Steps from the Convention Center.  Located in the heart of downtown with modern rooms with stunning city views, 24-7 dining options, free WiFi and easy valet parking</t>
  </si>
  <si>
    <t>Brand new mattresses and pillows.  Free airport shuttle. Great hotel for your business needs. Comp WIFI, atrium lounge &amp; restaurant, 1 mile from light rail.</t>
  </si>
  <si>
    <t>Nestled on six beautifully landscaped acres, located 2 blocks from the Plaza. Unwind at the spa and indulge in art tours on site.</t>
  </si>
  <si>
    <t>AAA Four Diamond Resort.  Nestled on six beautifully landscaped acres, located 2 blocks from the park. Unwind at the spa and indulge in art tours on site.</t>
  </si>
  <si>
    <t>Every stay starts with a warm cookie.  Amenities like the Counting Sheep sleep experience, our Wake-up glorious breakfast buffet and spacious workout facilities await.</t>
  </si>
  <si>
    <t>Right in the heart of campus.  From meetings in town or gameday, enjoy our prime location between the union and steps away from the stadium.</t>
  </si>
  <si>
    <t>Stunning Downtown Hotel with indoor Pool.  Ideally located close to theatres, museums and the convention center. Indoor Pool and Sauna and fitness centre.  Popular Bar &amp; Restaurant</t>
  </si>
  <si>
    <t>Spring Break at the mall.  Located across the street from the Light Rail to downtown.  Free shuttle to the mall and airport.</t>
  </si>
  <si>
    <t>Spacious rooms, glamorous suites and residences, rooftop pool, walking access to shopping, dining, entertainment and the city center.</t>
  </si>
  <si>
    <t>Nature is Home on the beach.  Save up to 30 percent. Valid Now through the end of the year. Restrictions and blackout may apply.</t>
  </si>
  <si>
    <t>Located on in the heart of the forest. Enjoy Warm Weather, Beach Club Services, Natural Hot Springs, Airport Shuttle.</t>
  </si>
  <si>
    <t>Only 8 miles from Downtown.  On-site bar/restaurant, Free hot breakfast buffet, Free wireless internet, All non-smoking hotel. Only 15 miles from airport.</t>
  </si>
  <si>
    <t>Oceanfront hotel overlooking the beach features rooms with a private balcony and 2 indoor and outdoor pools. Various shops and art entertainment are on the boardwalk, just steps away.</t>
  </si>
  <si>
    <t>Bar C Resort &amp; Campground</t>
  </si>
  <si>
    <t>Bar C is nestled on 20 unspoiled acres on a private cove of Rock Bottom Lake. We feature both lodging and campground accommodations to suit just about every taste. Even though we are out of the traffic of the city, getting there is only a short drive away.</t>
  </si>
  <si>
    <t>The largest year-round resort in the area offering more of everything for your vacation – at the best value!  What can you enjoy while at the resort, aside from the mile-long sandy beaches of the lake? Check out our activities sure to excite both young and young-at-heart guests. We have it all, including being named “Property of the Year” and a “Top Ten Resort” by top publications.</t>
  </si>
  <si>
    <t>Johnson's Resort</t>
  </si>
  <si>
    <t>Free Shuttle to the airport and casinos.  Free breakfast and WiFi.</t>
  </si>
  <si>
    <t>Family oriented resort located in the heart of the northland. Operated since 1962 by the Smith family, we have grown into one of the largest family resorts in the state. The home of excellent Smallmouth Bass fishing with 10 small cabins, we're a home not only to fishermen but their families as well. Rebuilt in the early 2000's, all of our cabins have been built with all the comforts of home. Sporting a huge beach with multiple water toys for those sunny summer days and a Lodge full of games for when you just can't swim anymore, there's always something for the family to do. A full marina offers watercraft rentals, boat launch, powered dock slips, canoes (free to use), &amp; fish cleaning facility. Rent pontoons, 14' fishing boats, 16' fishing rigs or jet ski's for a fun day or week on the water.</t>
  </si>
  <si>
    <t>We serve a continental-style breakfast each morning, featuring a variety of food and drinks. Our locally made, oh-so-soft, caramel cinnamon rolls are a favorite with our guests. Other breakfast items include coffee, orange juice, milk, cereal, instant oatmeal, bagels, and muffins.</t>
  </si>
  <si>
    <t xml:space="preserve">Only 90 miles (about 2 hours) from the nation's capital and nearby most everything the historic valley has to offer.  Hiking? Wine Tasting? Exploring the caverns?  It's all nearby and we have specially priced packages to help make our B&amp;B your home base for fun while visiting the valley. </t>
  </si>
  <si>
    <t>Situated conveniently at the north end of the village, the inn is just a short walk from the lake, offering reasonable rates and clean comfortable rooms with views.</t>
  </si>
  <si>
    <t>The hotel rooms and suites offer the perfect blend of beauty and elegance. Our rooms will elevate your stay, whether you're traveling for business, celebrating a honeymoon, or just looking for a remarkable getaway. With views of the valley or the iconic fountains right from your suite, your stay will be nothing short of unforgettable.</t>
  </si>
  <si>
    <t>L'hôtel est situé dans une place du XIXe siècle, qui a été agrandie et rénovée aux plus hautes normes architecturales pour créer un hôtel moderne, fonctionnel et de première classe dans lequel l'art et les éléments historiques uniques coexistent avec le confort le plus moderne.</t>
  </si>
  <si>
    <t>Le sublime Cliff Hotel est situé au coeur du centre historique de sublime dans un quartier extrêmement animé et vivant, à courte distance de marche des sites et monuments de la ville et est entouré par l'extraordinaire beauté des églises, des bâtiments, des commerces et Monuments. Sublime Cliff fait partie d'un Palace 1800 restauré avec amour.</t>
  </si>
  <si>
    <t>En entrant dans cet hôtel de charme à Scarlet Harbor, vous sentirez immédiatement son atmosphère intime particulière qui vous donne l'impression d'être dans votre propre maison.  Chaque détail a été choisi avec passion et chaque chambre mérite une visite. Le style mêle antiquités précieuses et des œuvres originales avec une inattendue contemporaine éclectique Twist. Tout l'hôtel rappelle les temps passés où les jeunes aristocrates vivaient tout en découvrant la beauté et les mystères artistiques de la région.</t>
  </si>
  <si>
    <t>Le plus récent de l'immeuble du centre-ville.  À quelques pas des destinations les plus populaires du centre-ville, profitez du WiFi gratuit, d'une piscine couverte sur le toit et d'un centre de remise en forme, de 24 Grab'n'Go et de boissons au bar.</t>
  </si>
  <si>
    <t>Emplacement parfait sur la rue principale.  Gagnez des points tout en appréciant la proximité des meilleurs magasins, restaurants et attractions de la ville.</t>
  </si>
  <si>
    <t>Centre-ville, près de tout, marches pour le parc, shopping, et restaurants.</t>
  </si>
  <si>
    <t>Découvrez le centre-ville frais et moderne.  Profitez de chambres rénovées, d'un style audacieux et d'un emplacement privilégié. Ne manquez pas notre série de musique en direct du week-end mettant en vedette who's New/Next sur la scène.</t>
  </si>
  <si>
    <t>Économisez jusqu'à 50% sur les hôtels traditionnels.  WiFi gratuit, très bien situé près du centre-ville, cuisine complète, laveuse &amp; sécheuse, support 24/7, bowling, centre de fitness et plus encore.</t>
  </si>
  <si>
    <t>Votre maison loin de chez vous. Flambant neuf chambres Premium entièrement équipées, WiFi rapide, cuisine complète, laveuse &amp; sécheuse, centre de fitness</t>
  </si>
  <si>
    <t>Récemment rénové, avec de grandes chambres, une navette gratuite de 24 heures par aéroport et un nouveau restaurant. Les chambres/suites offrent des mini-frigos et des TVHD de 49 pouces.</t>
  </si>
  <si>
    <t>Un luxe inégalé.  Visitez notre hôtel du centre-ville pour vous adonner à des hébergements luxueux. Moments du stade, nous vous présentons le meilleur dans le confort</t>
  </si>
  <si>
    <t>Nouvelle expérience dans la fabrication.  Soyez les premiers à découvrir le luxe du Twin vertex. Réservez une de nos chambres récemment rénovées aujourd'hui.</t>
  </si>
  <si>
    <t>Réservez dès maintenant et économisez jusqu'à 30%.  Emplacement central. A quelques pas de l'Empire State Building &amp; Times Square, dans le quartier de Chelsea. Chambres flambant neuves. Service impeccable.</t>
  </si>
  <si>
    <t>5 * hôtel de luxe-plus grandes chambres de la ville.  #1 hôtel dans les environs énumérés par Conde Nast Traveler. WiFi gratuit, Check-in/out flexible, centre de fitness et Nespresso dans la chambre.</t>
  </si>
  <si>
    <t>Élevez votre expérience.  Passez à une vue d'horizon de première ville pour moins, avec des vues spectaculaires de la ville, la cathédrale locale et Midtown.</t>
  </si>
  <si>
    <t>Nouvel hôtel de luxe.  Soyez le premier à rester. Vue sur la baie de chaque chambre, emplacement près de la Piper, piscine sur le toit, manger en bord de mer et plus.</t>
  </si>
  <si>
    <t>Réservez maintenant et économisez.  Chambres propres et confortables au plus bas prix. Profitez du café et du thé gratuits dans les parties communes.</t>
  </si>
  <si>
    <t>La meilleure station de jeux dans la région.  Avec des chambres et suites élégantes, piscine, Cabanas, Spa, brasserie &amp; Gaming de classe mondiale.  C'est le meilleur endroit pour jouer, rester et dîner.</t>
  </si>
  <si>
    <t>1 mile de l'aéroport.  WiFi gratuit, piscine extérieure, navette aéroport gratuite, à 6 km de la plage et à 10 km du centre-ville.</t>
  </si>
  <si>
    <t>Petit déjeuner buffet complet pour 2 pour seulement $1.  Excité de montrer nos mises à niveau de la chambre, plus rapide WiFi à haute vitesse, les couloirs et l'espace de réunion. Venez vous détendre et profiter de votre séjour.</t>
  </si>
  <si>
    <t>Mélangez et mêlez-vous au cœur de la ville.  Magasinez et dînez, mélangez et mêlez-vous au cœur du centre-ville, où les vues du lac FAB s'unissent avec un design effronté.</t>
  </si>
  <si>
    <t>Hôtel chic près de la ville.  Hôtel de grande hauteur dans le centre-ville, à distance de marche des théâtres, des restaurants et des magasins, avec des programmes de bien-être.</t>
  </si>
  <si>
    <t xml:space="preserve">Chambres nouvellement redessinées &amp; navette d'aéroport.  Minutes de l'aéroport, profitez des équipements Lakeside, une piscine de style complexe et de nouvelles chambres élégantes avec des téléViseurs Internet.
</t>
  </si>
  <si>
    <t>Prolonger votre séjour.  Passez une journée avec la vie de l'océan à l'aquarium, puis venez à la maison à des équipements tels que Wi-Fi gratuit, cuisine complète, et petit déjeuner buffet gratuit</t>
  </si>
  <si>
    <t>Navette aéroport gratuite et WiFi.  Réservez maintenant et économisez-spacieux All Suite Hotel, piscine couverte/extérieure, centre de fitness, Florida Green Certified, Starbucks Coffee, HDTV</t>
  </si>
  <si>
    <t>Pas du Centre des Congrès.  Situé au cœur du centre-ville avec des chambres modernes avec vue imprenable sur la ville, 24-7 restaurants, WiFi gratuit et parking avec voiturier facile</t>
  </si>
  <si>
    <t>Stay in the heart of downtown.  Experience the warmth of our hotel. Enjoy free WiFi, local transportation and Milk &amp; Cookies.</t>
  </si>
  <si>
    <t>Restez au coeur du centre-ville.  Vivez la chaleur de notre hôtel. Profitez du WiFi gratuit, du transport local et du lait et des biscuits.</t>
  </si>
  <si>
    <t>Matelas et oreillers flambant neufs.  Navette gratuite pour l'aéroport. Grand hôtel pour vos besoins d'affaires. COMP WIFI, Atrium Lounge &amp; Restaurant, 1 mile de Light Rail.</t>
  </si>
  <si>
    <t>Niché sur six hectares magnifiquement aménagés, situé à 2 pâtés de la Plaza. DéTendez-vous au spa et profitez de visites d'art sur place.</t>
  </si>
  <si>
    <t>AAA Four Diamond Resort.  Niché sur six hectares magnifiquement aménagés, situé à 2 pâtés de là du parc. DéTendez-vous au spa et profitez de visites d'art sur place.</t>
  </si>
  <si>
    <t>Chaque séjour commence par un biscuit chaud.  Commodités comme le comptage des moutons expérience de sommeil, notre réveil-up glorieux petit déjeuner buffet et des installations d'entraînement spacieuses vous attendent.</t>
  </si>
  <si>
    <t>Relâche au centre commercial.  Situé de l'autre côté de la rue du rail léger au centre-ville.  Navette gratuite pour le centre commercial et l'aéroport.</t>
  </si>
  <si>
    <t xml:space="preserve">Superbe hôtel du centre-ville avec piscine couverte.  Idéalement situé à proximité des théâtres, des musées et du Centre des Congrès. Piscine couverte et sauna et centre de fitness.  Populaire bar &amp; restaurant
</t>
  </si>
  <si>
    <t>En plein cœur du campus.  Des réunions en ville ou Gameday, profitez de notre emplacement privilégié entre l'Union et à quelques pas du stade.</t>
  </si>
  <si>
    <t>La nature est à la maison sur la plage.  Economisez jusqu'à 30%. Valable maintenant jusqu'à la fin de l'année. Les restrictions et le Blackout peuvent s'appliquer.</t>
  </si>
  <si>
    <t>Situé au coeur de la forêt. Appréciez le temps chaud, les services de club de plage, les sources chaudes normales, la navette d'aéroport.</t>
  </si>
  <si>
    <t>A seulement 8 km du centre-ville.  Bar/restaurant sur place, buffet de petit déjeuner chaud gratuit, Internet sans fil gratuit, tout hôtel non-fumeurs. A seulement 15 km de l'aéroport.</t>
  </si>
  <si>
    <t>L'hôtel front de mer surplombant la plage dispose de chambres avec balcon privé et 2 piscines intérieures et extérieures. Divers commerces et animations artistiques sont sur la promenade, à quelques pas.</t>
  </si>
  <si>
    <t>Bar C est niché sur 20 hectares intacts sur une crique privée de Rock Bottom Lake. Nous disposons à la fois d'hébergement et de logements de camping pour convenir à peu près tous les goûts. Même si nous sommes hors du trafic de la ville, y arriver est à seulement une courte distance en voiture.</t>
  </si>
  <si>
    <t xml:space="preserve">Resort familial situé au cœur de la Northland. Opéré depuis 1962 par la famille Smith, nous sommes devenus l'une des plus grandes stations familiales de l'État. La maison de la pêche à l'achigan à petite bouche excellente avec 10 petites cabanes, nous sommes une maison non seulement pour les pêcheurs, mais aussi leurs familles. Reconstruites au début des années 2000, toutes nos cabines ont été construites avec tout le confort de la maison. Arborant une immense plage avec des jouets d'eau multiples pour ces jours ensoleillés d'été et un Lodge plein de jeux pour quand vous ne pouvez pas nager plus, il ya toujours quelque chose pour la famille à faire. UNE marina complète offre la location de motomarines, le lancement de bateaux, des bordereaux d'amarrage, des canoës (libres d'utilisation), et des installations de nettoyage de poissons. Louez des pontons, 14 'bateaux de pêche, 16 'plates-formes de pêche ou jet ski pour une journée ou une semaine de plaisir sur l'eau.
</t>
  </si>
  <si>
    <t>Navette gratuite pour l'aéroport et les casinos.  Petit déjeuner gratuit et WiFi.</t>
  </si>
  <si>
    <t>La plus grande station de toute l'année dans la région offrant plus de tout pour vos vacances-au meilleur rapport qualité-prix!  Que pouvez-vous profiter de la station, en dehors des kilomètres de longues plages de sable du lac? Découvrez nos activités pour vous exciter à la fois les jeunes et les jeunes-à-coeur invités. Nous avons tout, y compris d'être nommé "propriété de l'année" et un "Top Ten Resort" par Top publications.</t>
  </si>
  <si>
    <t xml:space="preserve">Nous servons un petit déjeuner continental de style chaque matin, avec une variété de nourriture et de boissons. Notre fait localement, oh-so-Soft, caramel rouleaux de cannelle sont un favori avec nos clients. Autres petits-déjeuners: café, jus d'orange, lait, céréales, Gruau instantané, bagels et muffins.
</t>
  </si>
  <si>
    <t>Idéalement situé à l'extrémité nord du village, l'auberge se trouve à quelques minutes à pied du lac, offrant des tarifs raisonnables et des chambres confortables avec vue sur la ville.</t>
  </si>
  <si>
    <t>Seulement 90 milles (environ 2 heures) de la capitale de la nation et à proximité la plupart tout que la vallée historique a à offrir.  Randonnée? Dégustation? Vous explorez les cavernes?  C'est tout près et nous avons des forfaits à prix spécial pour aider à rendre notre B&amp;B votre base pour le plaisir en visitant la vallée.</t>
  </si>
  <si>
    <t>Chambres spacieuses, suites et résidences glamour, piscine sur le toit, accès à pied aux commerces, restaurants, divertissements et centre-ville.</t>
  </si>
  <si>
    <t>Les chambres et suites de l'hôtel offrent un mélange parfait de beauté et d'élégance. Nos chambres élèveront votre séjour, que vous voyagiez pour affaires, pour célébrer une lune de miel, ou tout simplement à la recherche d'une escapade remarquable. Avec une vue sur la vallée ou les fontaines emblématiques de votre suite, votre séjour sera tout à fait inoubliable.</t>
  </si>
  <si>
    <t>Room Quality</t>
  </si>
  <si>
    <t>Deluxe Room</t>
  </si>
  <si>
    <t>Standard Room</t>
  </si>
  <si>
    <t>Cabin</t>
  </si>
  <si>
    <t>Beds</t>
  </si>
  <si>
    <t>1 King Bed</t>
  </si>
  <si>
    <t>2 Queen Beds</t>
  </si>
  <si>
    <t>1 Queen Bed</t>
  </si>
  <si>
    <t>2 Double Beds</t>
  </si>
  <si>
    <t>Amenities</t>
  </si>
  <si>
    <t>Waterfront View</t>
  </si>
  <si>
    <t>City View</t>
  </si>
  <si>
    <t>Mountain View</t>
  </si>
  <si>
    <t>Cityside</t>
  </si>
  <si>
    <t>Balcony</t>
  </si>
  <si>
    <t>Standard Room, 1 Queen Bed (Waterfront View)</t>
  </si>
  <si>
    <t>Suite, 1 King Bed (Cityside)</t>
  </si>
  <si>
    <t>Deluxe Room, 1 King Bed (Waterfront View)</t>
  </si>
  <si>
    <t>Deluxe Room, 2 Queen Beds (Cityside)</t>
  </si>
  <si>
    <t>Standard Room, 1 King Bed (Mountain View)</t>
  </si>
  <si>
    <t>Standard Room, 2 Queen Beds (Waterfront View)</t>
  </si>
  <si>
    <t>Standard Room, 1 King Bed (Waterfront View)</t>
  </si>
  <si>
    <t>Deluxe Room, 2 Queen Beds (Waterfront View)</t>
  </si>
  <si>
    <t>Deluxe Room, 1 Queen Bed (Waterfront View)</t>
  </si>
  <si>
    <t>Deluxe Room, 1 King Bed (Amenities)</t>
  </si>
  <si>
    <t>Standard Room, 1 Queen Bed (City View)</t>
  </si>
  <si>
    <t>Suite, 1 Queen Bed (Mountain View)</t>
  </si>
  <si>
    <t>Deluxe Room, 1 King Bed (City View)</t>
  </si>
  <si>
    <t>Standard Room, 2 Queen Beds (Mountain View)</t>
  </si>
  <si>
    <t>Standard Room, 2 Queen Beds (City View)</t>
  </si>
  <si>
    <t>Standard Room, 1 King Bed (City View)</t>
  </si>
  <si>
    <t>Deluxe Room, 1 King Bed (Cityside)</t>
  </si>
  <si>
    <t>Deluxe Room, 1 King Bed (Mountain View)</t>
  </si>
  <si>
    <t>Suite, 1 Queen Bed (Cityside)</t>
  </si>
  <si>
    <t>Deluxe Room, 1 Queen Bed (Mountain View)</t>
  </si>
  <si>
    <t>Deluxe Room, 1 Queen Bed (City View)</t>
  </si>
  <si>
    <t>Standard Room, 2 Queen Beds (Cityside)</t>
  </si>
  <si>
    <t>Standard Room, 1 Queen Bed (Mountain View)</t>
  </si>
  <si>
    <t>Deluxe Room, 1 Queen Bed (Cityside)</t>
  </si>
  <si>
    <t>Deluxe Room, 2 Queen Beds (Amenities)</t>
  </si>
  <si>
    <t>Deluxe Room, 2 Queen Beds (City View)</t>
  </si>
  <si>
    <t>Suite, 2 Queen Beds (Waterfront View)</t>
  </si>
  <si>
    <t>Deluxe Room, 2 Queen Beds (Mountain View)</t>
  </si>
  <si>
    <t>Standard Room, 1 King Bed (Amenities)</t>
  </si>
  <si>
    <t>Suite, 2 Queen Beds (City View)</t>
  </si>
  <si>
    <t>Suite, 2 Queen Beds (Mountain View)</t>
  </si>
  <si>
    <t>Suite, 1 Queen Bed (City View)</t>
  </si>
  <si>
    <t>Suite, 2 Queen Beds (Amenities)</t>
  </si>
  <si>
    <t>Suite, 1 King Bed (City View)</t>
  </si>
  <si>
    <t>Suite, 1 King Bed (Waterfront View)</t>
  </si>
  <si>
    <t>Suite, 1 King Bed (Amenities)</t>
  </si>
  <si>
    <t>Suite, 1 Queen Bed (Waterfront View)</t>
  </si>
  <si>
    <t>Suite, 2 Queen Beds (Cityside)</t>
  </si>
  <si>
    <t>Suite, 1 King Bed (Mountain View)</t>
  </si>
  <si>
    <t>Standard Room, 1 Queen Bed (Amenities)</t>
  </si>
  <si>
    <t>Suite, 1 Queen Bed (Amenities)</t>
  </si>
  <si>
    <t>Standard Room, 1 Queen Bed (Cityside)</t>
  </si>
  <si>
    <t>Deluxe Room, 1 Queen Bed (Amenities)</t>
  </si>
  <si>
    <t>Standard Room, 1 King Bed (Cityside)</t>
  </si>
  <si>
    <t>Standard Room, 2 Queen Beds (Amenities)</t>
  </si>
  <si>
    <t>SleepsCount</t>
  </si>
  <si>
    <t>Sleeps</t>
  </si>
  <si>
    <t>Budget Room</t>
  </si>
  <si>
    <t>Deluxe Room, 2 Double Beds (Waterfront View)</t>
  </si>
  <si>
    <t>vcr/dvd, coffee maker, tv</t>
  </si>
  <si>
    <t>Budget Room, 2 Queen Beds (Amenities)</t>
  </si>
  <si>
    <t>Suite, 2 Double Beds (Waterfront View)</t>
  </si>
  <si>
    <t>Budget Room, 1 Queen Bed (Cityside)</t>
  </si>
  <si>
    <t>Budget Room, 2 Queen Beds (City View)</t>
  </si>
  <si>
    <t>Budget Room, 1 Queen Bed (Mountain View)</t>
  </si>
  <si>
    <t>Standard Room, 2 Double Beds (Mountain View)</t>
  </si>
  <si>
    <t>Suite, 2 Double Beds (Amenities)</t>
  </si>
  <si>
    <t>Budget Room, 1 King Bed (City View)</t>
  </si>
  <si>
    <t>Budget Room, 2 Queen Beds (Waterfront View)</t>
  </si>
  <si>
    <t>Suite, 2 Double Beds (City View)</t>
  </si>
  <si>
    <t>Standard Room, 2 Double Beds (Waterfront View)</t>
  </si>
  <si>
    <t>Budget Room, 2 Double Beds (Amenities)</t>
  </si>
  <si>
    <t>Standard Room, 2 Double Beds (Cityside)</t>
  </si>
  <si>
    <t>Standard Room, 2 Double Beds (City View)</t>
  </si>
  <si>
    <t>Budget Room, 2 Queen Beds (Mountain View)</t>
  </si>
  <si>
    <t>Budget Room, 1 King Bed (Cityside)</t>
  </si>
  <si>
    <t>Budget Room, 2 Double Beds (Waterfront View)</t>
  </si>
  <si>
    <t>Budget Room, 1 King Bed (Waterfront View)</t>
  </si>
  <si>
    <t>Budget Room, 1 King Bed (Amenities)</t>
  </si>
  <si>
    <t>Deluxe Room, 2 Double Beds (Mountain View)</t>
  </si>
  <si>
    <t>Suite, 2 Double Beds (Cityside)</t>
  </si>
  <si>
    <t>Budget Room, 1 King Bed (Mountain View)</t>
  </si>
  <si>
    <t>Budget Room, 2 Queen Beds (Cityside)</t>
  </si>
  <si>
    <t>Budget Room, 2 Double Beds (Cityside)</t>
  </si>
  <si>
    <t>Standard Room, 2 Double Beds (Amenities)</t>
  </si>
  <si>
    <t>Deluxe Room, 2 Double Beds (City View)</t>
  </si>
  <si>
    <t>Budget Room, 1 Queen Bed (Waterfront View)</t>
  </si>
  <si>
    <t>Deluxe Room, 2 Double Beds (Cityside)</t>
  </si>
  <si>
    <t>Suite, 2 Double Beds (Mountain View)</t>
  </si>
  <si>
    <t>Budget Room, 2 Double Beds (Mountain View)</t>
  </si>
  <si>
    <t>Deluxe Room, 2 Double Beds (Amenities)</t>
  </si>
  <si>
    <t>Budget Room, 1 Queen Bed (City View)</t>
  </si>
  <si>
    <t>Budget Room, 2 Double Beds (City View)</t>
  </si>
  <si>
    <t>Budget Room, 1 Queen Bed (Amenities)</t>
  </si>
  <si>
    <t>jacuzzi tub, Room Tags</t>
  </si>
  <si>
    <t>suite, bathroom shower, Room Tags</t>
  </si>
  <si>
    <t>coffee maker, suite</t>
  </si>
  <si>
    <t>Room Tags, suite, Room Tags</t>
  </si>
  <si>
    <t>suite, coffee maker</t>
  </si>
  <si>
    <t>Room Tags, tv, tv</t>
  </si>
  <si>
    <t>vcr/dvd, vcr/dvd</t>
  </si>
  <si>
    <t>vcr/dvd, coffee maker</t>
  </si>
  <si>
    <t>suite, vcr/dvd, coffee maker</t>
  </si>
  <si>
    <t>vcr/dvd, tv</t>
  </si>
  <si>
    <t>jacuzzi tub, tv</t>
  </si>
  <si>
    <t>jacuzzi tub, vcr/dvd, Room Tags</t>
  </si>
  <si>
    <t>suite, Room Tags, bathroom shower</t>
  </si>
  <si>
    <t>vcr/dvd, jacuzzi tub, bathroom shower</t>
  </si>
  <si>
    <t>jacuzzi tub, suite</t>
  </si>
  <si>
    <t>Room Tags, tv</t>
  </si>
  <si>
    <t>tv, coffee maker, Room Tags</t>
  </si>
  <si>
    <t>tv, suite</t>
  </si>
  <si>
    <t>tv, vcr/dvd</t>
  </si>
  <si>
    <t>bathroom shower, tv</t>
  </si>
  <si>
    <t>tv, tv</t>
  </si>
  <si>
    <t>Room Tags, bathroom shower, bathroom shower</t>
  </si>
  <si>
    <t>jacuzzi tub, bathroom shower</t>
  </si>
  <si>
    <t>bathroom shower, vcr/dvd</t>
  </si>
  <si>
    <t>coffee maker, tv</t>
  </si>
  <si>
    <t>suite, Room Tags, vcr/dvd</t>
  </si>
  <si>
    <t>bathroom shower, coffee maker, jacuzzi tub</t>
  </si>
  <si>
    <t>Room Tags, coffee maker</t>
  </si>
  <si>
    <t>tv, vcr/dvd, coffee maker</t>
  </si>
  <si>
    <t>tv, coffee maker</t>
  </si>
  <si>
    <t>suite, tv</t>
  </si>
  <si>
    <t>bathroom shower, suite, tv</t>
  </si>
  <si>
    <t>Room Tags, Room Tags</t>
  </si>
  <si>
    <t>Room Tags, bathroom shower, vcr/dvd</t>
  </si>
  <si>
    <t>jacuzzi tub, vcr/dvd</t>
  </si>
  <si>
    <t>coffee maker, Room Tags</t>
  </si>
  <si>
    <t>vcr/dvd, suite</t>
  </si>
  <si>
    <t>vcr/dvd, jacuzzi tub, suite</t>
  </si>
  <si>
    <t>Room Tags, bathroom shower</t>
  </si>
  <si>
    <t>vcr/dvd, suite, Room Tags</t>
  </si>
  <si>
    <t>suite, coffee maker, Room Tags</t>
  </si>
  <si>
    <t>jacuzzi tub, coffee maker</t>
  </si>
  <si>
    <t>coffee maker, Room Tags, jacuzzi tub</t>
  </si>
  <si>
    <t>suite, vcr/dvd</t>
  </si>
  <si>
    <t>jacuzzi tub, jacuzzi tub</t>
  </si>
  <si>
    <t>bathroom shower, suite</t>
  </si>
  <si>
    <t>vcr/dvd, Room Tags, suite</t>
  </si>
  <si>
    <t>tv, Room Tags</t>
  </si>
  <si>
    <t>tv, bathroom shower</t>
  </si>
  <si>
    <t>bathroom shower, jacuzzi tub</t>
  </si>
  <si>
    <t>suite, Room Tags, tv</t>
  </si>
  <si>
    <t>vcr/dvd, Room Tags</t>
  </si>
  <si>
    <t>Room Tags, vcr/dvd</t>
  </si>
  <si>
    <t>coffee maker, jacuzzi tub, jacuzzi tub</t>
  </si>
  <si>
    <t>bathroom shower, jacuzzi tub, coffee maker</t>
  </si>
  <si>
    <t>coffee maker, coffee maker</t>
  </si>
  <si>
    <t>vcr/dvd, bathroom shower, jacuzzi tub</t>
  </si>
  <si>
    <t>bathroom shower, coffee maker</t>
  </si>
  <si>
    <t>tv, vcr/dvd, suite</t>
  </si>
  <si>
    <t>Room Tags, suite</t>
  </si>
  <si>
    <t>jacuzzi tub, tv, suite</t>
  </si>
  <si>
    <t>Room Tags, suite, bathroom shower</t>
  </si>
  <si>
    <t>coffee maker, vcr/dvd, coffee maker</t>
  </si>
  <si>
    <t>bathroom shower, Room Tags</t>
  </si>
  <si>
    <t>suite, vcr/dvd, suite</t>
  </si>
  <si>
    <t>vcr/dvd, bathroom shower, suite</t>
  </si>
  <si>
    <t>suite, Room Tags, jacuzzi tub</t>
  </si>
  <si>
    <t>tv, Room Tags, tv</t>
  </si>
  <si>
    <t>coffee maker, bathroom shower</t>
  </si>
  <si>
    <t>bathroom shower, suite, suite</t>
  </si>
  <si>
    <t>bathroom shower, coffee maker, tv</t>
  </si>
  <si>
    <t>Room Tags, coffee maker, bathroom shower</t>
  </si>
  <si>
    <t>jacuzzi tub, Room Tags, vcr/dvd</t>
  </si>
  <si>
    <t>coffee maker, jacuzzi tub</t>
  </si>
  <si>
    <t>vcr/dvd, vcr/dvd, Room Tags</t>
  </si>
  <si>
    <t>tv, tv, jacuzzi tub</t>
  </si>
  <si>
    <t>vcr/dvd, bathroom shower</t>
  </si>
  <si>
    <t>tv, jacuzzi tub</t>
  </si>
  <si>
    <t>tv, vcr/dvd, jacuzzi tub</t>
  </si>
  <si>
    <t>jacuzzi tub, suite, tv</t>
  </si>
  <si>
    <t>jacuzzi tub, vcr/dvd, vcr/dvd</t>
  </si>
  <si>
    <t>jacuzzi tub, coffee maker, Room Tags</t>
  </si>
  <si>
    <t>Room Tags, coffee maker, Room Tags</t>
  </si>
  <si>
    <t>Room Tags, jacuzzi tub, coffee maker</t>
  </si>
  <si>
    <t>suite, suite</t>
  </si>
  <si>
    <t>tv, suite, suite</t>
  </si>
  <si>
    <t>tv, vcr/dvd, bathroom shower</t>
  </si>
  <si>
    <t>jacuzzi tub, suite, suite</t>
  </si>
  <si>
    <t>suite, bathroom shower</t>
  </si>
  <si>
    <t>tv, suite, bathroom shower</t>
  </si>
  <si>
    <t>vcr/dvd, suite, vcr/dvd</t>
  </si>
  <si>
    <t>Room Tags, coffee maker, vcr/dvd</t>
  </si>
  <si>
    <t>bathroom shower, coffee maker, coffee maker</t>
  </si>
  <si>
    <t>vcr/dvd, vcr/dvd, bathroom shower</t>
  </si>
  <si>
    <t>bathroom shower, bathroom shower</t>
  </si>
  <si>
    <t>Room Tags, vcr/dvd, tv</t>
  </si>
  <si>
    <t>tv, suite, jacuzzi tub</t>
  </si>
  <si>
    <t>suite, jacuzzi tub, Room Tags</t>
  </si>
  <si>
    <t>coffee maker, suite, suite</t>
  </si>
  <si>
    <t>Room Tags, jacuzzi tub, bathroom shower</t>
  </si>
  <si>
    <t>jacuzzi tub, coffee maker, tv</t>
  </si>
  <si>
    <t>suite, Room Tags</t>
  </si>
  <si>
    <t>Room Tags, jacuzzi tub</t>
  </si>
  <si>
    <t>vcr/dvd, jacuzzi tub</t>
  </si>
  <si>
    <t>coffee maker, vcr/dvd</t>
  </si>
  <si>
    <t>coffee maker, tv, Room Tags</t>
  </si>
  <si>
    <t>Room Tags, vcr/dvd, Room Tags</t>
  </si>
  <si>
    <t>suite, suite, suite</t>
  </si>
  <si>
    <t>tv, suite, vcr/dvd</t>
  </si>
  <si>
    <t>tv, bathroom shower, coffee maker</t>
  </si>
  <si>
    <t>vcr/dvd, tv, bathroom shower</t>
  </si>
  <si>
    <t>suite, jacuzzi tub</t>
  </si>
  <si>
    <t>Room Tags, bathroom shower, suite</t>
  </si>
  <si>
    <t>bathroom shower, Room Tags, suite</t>
  </si>
  <si>
    <t>jacuzzi tub, jacuzzi tub, suite</t>
  </si>
  <si>
    <t>bathroom shower, vcr/dvd, Room Tags</t>
  </si>
  <si>
    <t>bathroom shower, Room Tags, vcr/dvd</t>
  </si>
  <si>
    <t>bathroom shower, bathroom shower, Room Tags</t>
  </si>
  <si>
    <t>Room Tags, Room Tags, bathroom shower</t>
  </si>
  <si>
    <t>suite, vcr/dvd, vcr/dvd</t>
  </si>
  <si>
    <t>vcr/dvd, jacuzzi tub, vcr/dvd</t>
  </si>
  <si>
    <t>vcr/dvd, jacuzzi tub, Room Tags</t>
  </si>
  <si>
    <t>jacuzzi tub, tv, tv</t>
  </si>
  <si>
    <t>tv, tv, Room Tags</t>
  </si>
  <si>
    <t>Room Tags, jacuzzi tub, Room Tags</t>
  </si>
  <si>
    <t>Room Tags, tv, Room Tags</t>
  </si>
  <si>
    <t>tv, jacuzzi tub, coffee maker</t>
  </si>
  <si>
    <t>jacuzzi tub, suite, bathroom shower</t>
  </si>
  <si>
    <t>bathroom shower, jacuzzi tub, Room Tags</t>
  </si>
  <si>
    <t>Room Tags, vcr/dvd, bathroom shower</t>
  </si>
  <si>
    <t>suite, tv, suite</t>
  </si>
  <si>
    <t>vcr/dvd, coffee maker, suite</t>
  </si>
  <si>
    <t>tv, Room Tags, suite</t>
  </si>
  <si>
    <t>suite, vcr/dvd, tv</t>
  </si>
  <si>
    <t>coffee maker, bathroom shower, suite</t>
  </si>
  <si>
    <t>coffee maker, coffee maker, suite</t>
  </si>
  <si>
    <t>Room Tags, Room Tags, vcr/dvd</t>
  </si>
  <si>
    <t>jacuzzi tub, coffee maker, coffee maker</t>
  </si>
  <si>
    <t>jacuzzi tub, bathroom shower, coffee maker</t>
  </si>
  <si>
    <t>vcr/dvd, suite, tv</t>
  </si>
  <si>
    <t>vcr/dvd, vcr/dvd, tv</t>
  </si>
  <si>
    <t>jacuzzi tub, suite, Room Tags</t>
  </si>
  <si>
    <t>tv, coffee maker, suite</t>
  </si>
  <si>
    <t>suite, suite, Room Tags</t>
  </si>
  <si>
    <t>jacuzzi tub, Room Tags, tv</t>
  </si>
  <si>
    <t>vcr/dvd, Room Tags, Room Tags</t>
  </si>
  <si>
    <t>coffee maker, coffee maker, tv</t>
  </si>
  <si>
    <t>tv, coffee maker, jacuzzi tub</t>
  </si>
  <si>
    <t>Room Tags, tv, coffee maker</t>
  </si>
  <si>
    <t>suite, tv, jacuzzi tub</t>
  </si>
  <si>
    <t>jacuzzi tub, bathroom shower, jacuzzi tub</t>
  </si>
  <si>
    <t>bathroom shower, suite, jacuzzi tub</t>
  </si>
  <si>
    <t>suite, suite, coffee maker</t>
  </si>
  <si>
    <t>Room Tags, suite, jacuzzi tub</t>
  </si>
  <si>
    <t>suite, suite, jacuzzi tub</t>
  </si>
  <si>
    <t>suite, coffee maker, tv</t>
  </si>
  <si>
    <t>bathroom shower, tv, Room Tags</t>
  </si>
  <si>
    <t>Room Tags, bathroom shower, Room Tags</t>
  </si>
  <si>
    <t>coffee maker, suite, vcr/dvd</t>
  </si>
  <si>
    <t>jacuzzi tub, tv, Room Tags</t>
  </si>
  <si>
    <t>suite, suite, tv</t>
  </si>
  <si>
    <t>jacuzzi tub, tv, coffee maker</t>
  </si>
  <si>
    <t>suite, bathroom shower, coffee maker</t>
  </si>
  <si>
    <t>bathroom shower, tv, bathroom shower</t>
  </si>
  <si>
    <t>BedOptions</t>
  </si>
  <si>
    <t>coffee maker, coffee maker, coffee maker</t>
  </si>
  <si>
    <t>suite, coffee maker, jacuzzi tub</t>
  </si>
  <si>
    <t>coffee maker, Room Tags, coffee maker</t>
  </si>
  <si>
    <t>coffee maker, jacuzzi tub, vcr/dvd</t>
  </si>
  <si>
    <t>jacuzzi tub, Room Tags, bathroom shower</t>
  </si>
  <si>
    <t>bathroom shower, vcr/dvd, jacuzzi tub</t>
  </si>
  <si>
    <t>coffee maker, vcr/dvd, jacuzzi tub</t>
  </si>
  <si>
    <t>coffee maker, suite, coffee maker</t>
  </si>
  <si>
    <t>vcr/dvd, tv, vcr/dvd</t>
  </si>
  <si>
    <t>tv, bathroom shower, tv</t>
  </si>
  <si>
    <t>coffee maker, coffee maker, Room Tags</t>
  </si>
  <si>
    <t>vcr/dvd, Room Tags, bathroom shower</t>
  </si>
  <si>
    <t>coffee maker, tv, coffee maker</t>
  </si>
  <si>
    <t>jacuzzi tub, Room Tags, suite</t>
  </si>
  <si>
    <t>vcr/dvd, Room Tags, coffee maker</t>
  </si>
  <si>
    <t>jacuzzi tub, vcr/dvd, tv</t>
  </si>
  <si>
    <t>tv, bathroom shower, vcr/dvd</t>
  </si>
  <si>
    <t>tv, tv, coffee maker</t>
  </si>
  <si>
    <t>vcr/dvd, bathroom shower, Room Tags</t>
  </si>
  <si>
    <t>bathroom shower, tv, vcr/dvd</t>
  </si>
  <si>
    <t>jacuzzi tub, bathroom shower, tv</t>
  </si>
  <si>
    <t>tv, jacuzzi tub, tv</t>
  </si>
  <si>
    <t>vcr/dvd, coffee maker, jacuzzi tub</t>
  </si>
  <si>
    <t>tv, jacuzzi tub, suite</t>
  </si>
  <si>
    <t>coffee maker, bathroom shower, vcr/dvd</t>
  </si>
  <si>
    <t>vcr/dvd, coffee maker, coffee maker</t>
  </si>
  <si>
    <t>Room Tags, tv, suite</t>
  </si>
  <si>
    <t>Room Tags, jacuzzi tub, vcr/dvd</t>
  </si>
  <si>
    <t>bathroom shower, coffee maker, suite</t>
  </si>
  <si>
    <t>coffee maker, Room Tags, Room Tags</t>
  </si>
  <si>
    <t>suite, bathroom shower, vcr/dvd</t>
  </si>
  <si>
    <t>vcr/dvd, suite, jacuzzi tub</t>
  </si>
  <si>
    <t>jacuzzi tub, coffee maker, jacuzzi tub</t>
  </si>
  <si>
    <t>bathroom shower, bathroom shower, coffee maker</t>
  </si>
  <si>
    <t>Room Tags, suite, vcr/dvd</t>
  </si>
  <si>
    <t>suite, coffee maker, suite</t>
  </si>
  <si>
    <t>bathroom shower, bathroom shower, bathroom shower</t>
  </si>
  <si>
    <t>suite, suite, bathroom shower</t>
  </si>
  <si>
    <t>Room Tags, coffee maker, tv</t>
  </si>
  <si>
    <t>bathroom shower, bathroom shower, vcr/dvd</t>
  </si>
  <si>
    <t>Room Tags, tv, vcr/dvd</t>
  </si>
  <si>
    <t>suite, tv, bathroom shower</t>
  </si>
  <si>
    <t>coffee maker, suite, jacuzzi tub</t>
  </si>
  <si>
    <t>vcr/dvd, suite, coffee maker</t>
  </si>
  <si>
    <t>tv, bathroom shower, Room Tags</t>
  </si>
  <si>
    <t>suite, coffee maker, vcr/dvd</t>
  </si>
  <si>
    <t>jacuzzi tub, jacuzzi tub, Room Tags</t>
  </si>
  <si>
    <t>coffee maker, vcr/dvd, bathroom shower</t>
  </si>
  <si>
    <t>jacuzzi tub, vcr/dvd, coffee maker</t>
  </si>
  <si>
    <t>jacuzzi tub, jacuzzi tub, tv</t>
  </si>
  <si>
    <t>coffee maker, jacuzzi tub, coffee maker</t>
  </si>
  <si>
    <t>bathroom shower, vcr/dvd, tv</t>
  </si>
  <si>
    <t>bathroom shower, jacuzzi tub, bathroom shower</t>
  </si>
  <si>
    <t>bathroom shower, vcr/dvd, vcr/dvd</t>
  </si>
  <si>
    <t>coffee maker, bathroom shower, Room Tags</t>
  </si>
  <si>
    <t>Room Tags, Room Tags, suite</t>
  </si>
  <si>
    <t>suite, Room Tags, coffee maker</t>
  </si>
  <si>
    <t>vcr/dvd, coffee maker, Room Tags</t>
  </si>
  <si>
    <t>tv, vcr/dvd, tv</t>
  </si>
  <si>
    <t>Room Tags, tv, bathroom shower</t>
  </si>
  <si>
    <t>jacuzzi tub, bathroom shower, suite</t>
  </si>
  <si>
    <t>Room Tags, vcr/dvd, suite</t>
  </si>
  <si>
    <t>suite, jacuzzi tub, coffee maker</t>
  </si>
  <si>
    <t>coffee maker, bathroom shower, tv</t>
  </si>
  <si>
    <t>coffee maker, bathroom shower, coffee maker</t>
  </si>
  <si>
    <t>vcr/dvd, tv, coffee maker</t>
  </si>
  <si>
    <t>coffee maker, bathroom shower, jacuzzi tub</t>
  </si>
  <si>
    <t>bathroom shower, suite, bathroom shower</t>
  </si>
  <si>
    <t>Room Tags, bathroom shower, jacuzzi tub</t>
  </si>
  <si>
    <t>Room Tags, Room Tags, jacuzzi tub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</si>
</sst>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9" formatCode="0.0"/>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49" fontId="0" fillId="0" borderId="0" xfId="0" applyNumberFormat="1" applyAlignment="1">
      <alignment wrapText="1"/>
    </xf>
    <xf numFmtId="0" fontId="0" fillId="0" borderId="0" xfId="0" applyAlignment="1">
      <alignment wrapText="1"/>
    </xf>
    <xf numFmtId="14" fontId="0" fillId="0" borderId="0" xfId="0" applyNumberFormat="1"/>
    <xf numFmtId="169" fontId="0" fillId="0" borderId="0" xfId="0" applyNumberFormat="1"/>
  </cellXfs>
  <cellStyles count="1">
    <cellStyle name="Normal" xfId="0" builtinId="0"/>
  </cellStyles>
  <dxfs count="4">
    <dxf>
      <numFmt numFmtId="30" formatCode="@"/>
      <alignment horizontal="general" vertical="bottom" textRotation="0" wrapText="1" indent="0" justifyLastLine="0" shrinkToFit="0" readingOrder="0"/>
    </dxf>
    <dxf>
      <numFmt numFmtId="169" formatCode="0.0"/>
    </dxf>
    <dxf>
      <numFmt numFmtId="19" formatCode="m/d/yyyy"/>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xdr:colOff>
          <xdr:row>1</xdr:row>
          <xdr:rowOff>171450</xdr:rowOff>
        </xdr:from>
        <xdr:to>
          <xdr:col>10</xdr:col>
          <xdr:colOff>552450</xdr:colOff>
          <xdr:row>3</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73448184-B268-4E6E-B4DD-C279512312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Rooms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7CB5E04-28AC-4139-9FA4-496EEDECE1D6}" name="Table2" displayName="Table2" ref="A1:J51" totalsRowShown="0">
  <autoFilter ref="A1:J51" xr:uid="{D1CB6D55-0E41-4CF6-B8F2-F17FC54BB32B}"/>
  <tableColumns count="10">
    <tableColumn id="1" xr3:uid="{B3600F0E-8E0C-408B-B6AA-FF0E4BC24EA0}" name="HotelId">
      <calculatedColumnFormula>A1+1</calculatedColumnFormula>
    </tableColumn>
    <tableColumn id="2" xr3:uid="{F20A165C-867C-41CB-B12E-FD61BD445345}" name="HotelName"/>
    <tableColumn id="3" xr3:uid="{BD76D8B3-2405-432D-BBA0-16D750113C30}" name="Description" dataDxfId="0"/>
    <tableColumn id="4" xr3:uid="{5672967C-E88B-43E6-8A72-F1C8F6C91AD3}" name="description_fr" dataDxfId="3"/>
    <tableColumn id="6" xr3:uid="{86440B71-6C12-4C33-9CE2-18EB3F182103}" name="Category">
      <calculatedColumnFormula>INDEX('Data Sources'!A$2:A$7, RANDBETWEEN(1, 6))</calculatedColumnFormula>
    </tableColumn>
    <tableColumn id="7" xr3:uid="{AC1BBE66-6FAD-43A7-83BF-128FB3C0C35D}" name="Tags">
      <calculatedColumnFormula>_xlfn.CONCAT(INDEX('Data Sources'!C$2:C$13, RANDBETWEEN(1, 12)), ", ", INDEX('Data Sources'!C$2:C$13, RANDBETWEEN(1, 12)), ", ", INDEX('Data Sources'!C$2:C$13, RANDBETWEEN(1, 12)))</calculatedColumnFormula>
    </tableColumn>
    <tableColumn id="8" xr3:uid="{B4959832-A56E-4C71-AE74-4F86483C6B80}" name="ParkingIncluded">
      <calculatedColumnFormula>RANDBETWEEN(0,1)</calculatedColumnFormula>
    </tableColumn>
    <tableColumn id="9" xr3:uid="{D7E85389-03A3-4849-9CBC-E32E76D2AF8A}" name="SmokingAllowed">
      <calculatedColumnFormula>RANDBETWEEN(0,1)</calculatedColumnFormula>
    </tableColumn>
    <tableColumn id="10" xr3:uid="{55F3D4E7-4C49-4EE2-B9DE-EE5AA1AA1E9E}" name="LastRenovationDate" dataDxfId="2">
      <calculatedColumnFormula>RANDBETWEEN(DATE(1950,1,1), DATE(2018,10,1))</calculatedColumnFormula>
    </tableColumn>
    <tableColumn id="11" xr3:uid="{DCF9585F-1394-4D7A-9086-FBBCE3822F71}" name="Rating" dataDxfId="1">
      <calculatedColumnFormula>ROUND(RAND()*3,1)+2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91531-769C-4C5F-8075-35B35A5D107A}">
  <sheetPr codeName="Sheet1"/>
  <dimension ref="A1:J51"/>
  <sheetViews>
    <sheetView topLeftCell="D1" workbookViewId="0">
      <selection activeCell="F1" sqref="F1:F1048576"/>
    </sheetView>
  </sheetViews>
  <sheetFormatPr defaultRowHeight="15" x14ac:dyDescent="0.25"/>
  <cols>
    <col min="1" max="1" width="9.7109375" customWidth="1"/>
    <col min="2" max="2" width="26.7109375" bestFit="1" customWidth="1"/>
    <col min="3" max="3" width="39.85546875" style="1" customWidth="1"/>
    <col min="4" max="4" width="40.85546875" style="2" customWidth="1"/>
    <col min="5" max="5" width="14.140625" bestFit="1" customWidth="1"/>
    <col min="6" max="6" width="54.7109375" bestFit="1" customWidth="1"/>
    <col min="7" max="7" width="59.85546875" bestFit="1" customWidth="1"/>
    <col min="8" max="8" width="18.140625" customWidth="1"/>
    <col min="9" max="9" width="20.85546875" style="3" customWidth="1"/>
    <col min="10" max="10" width="9.140625" style="4"/>
  </cols>
  <sheetData>
    <row r="1" spans="1:10" x14ac:dyDescent="0.25">
      <c r="A1" t="s">
        <v>0</v>
      </c>
      <c r="B1" t="s">
        <v>3</v>
      </c>
      <c r="C1" s="1" t="s">
        <v>2</v>
      </c>
      <c r="D1" s="2" t="s">
        <v>4</v>
      </c>
      <c r="E1" t="s">
        <v>5</v>
      </c>
      <c r="F1" t="s">
        <v>6</v>
      </c>
      <c r="G1" t="s">
        <v>7</v>
      </c>
      <c r="H1" t="s">
        <v>8</v>
      </c>
      <c r="I1" s="3" t="s">
        <v>9</v>
      </c>
      <c r="J1" s="4" t="s">
        <v>10</v>
      </c>
    </row>
    <row r="2" spans="1:10" ht="102.75" customHeight="1" x14ac:dyDescent="0.25">
      <c r="A2">
        <v>1</v>
      </c>
      <c r="B2" t="s">
        <v>12</v>
      </c>
      <c r="C2" s="1" t="s">
        <v>60</v>
      </c>
      <c r="D2" s="2" t="s">
        <v>61</v>
      </c>
      <c r="E2" t="str">
        <f ca="1">INDEX('Data Sources'!A$2:A$7, RANDBETWEEN(1, 6))</f>
        <v>Extended-Stay</v>
      </c>
      <c r="F2" t="str">
        <f ca="1">_xlfn.CONCAT(INDEX('Data Sources'!C$2:C$13, RANDBETWEEN(1, 12)), ", ", INDEX('Data Sources'!C$2:C$13, RANDBETWEEN(1, 12)), ", ", INDEX('Data Sources'!C$2:C$13, RANDBETWEEN(1, 12)))</f>
        <v>coffee in lobby, free wifi, pool</v>
      </c>
      <c r="G2">
        <f ca="1">RANDBETWEEN(0,1)</f>
        <v>0</v>
      </c>
      <c r="H2">
        <f ca="1">RANDBETWEEN(0,1)</f>
        <v>1</v>
      </c>
      <c r="I2" s="3">
        <f ca="1">RANDBETWEEN(DATE(1950,1,1), DATE(2018,10,1))</f>
        <v>38734</v>
      </c>
      <c r="J2" s="4">
        <f ca="1">ROUND(RAND()*3,1)+2</f>
        <v>4.5</v>
      </c>
    </row>
    <row r="3" spans="1:10" ht="105" x14ac:dyDescent="0.25">
      <c r="A3">
        <v>2</v>
      </c>
      <c r="B3" t="s">
        <v>13</v>
      </c>
      <c r="C3" s="1" t="s">
        <v>91</v>
      </c>
      <c r="D3" s="2" t="s">
        <v>140</v>
      </c>
      <c r="E3" t="str">
        <f ca="1">INDEX('Data Sources'!A$2:A$7, RANDBETWEEN(1, 6))</f>
        <v>Extended-Stay</v>
      </c>
      <c r="F3" t="str">
        <f ca="1">_xlfn.CONCAT(INDEX('Data Sources'!C$2:C$13, RANDBETWEEN(1, 12)), ", ", INDEX('Data Sources'!C$2:C$13, RANDBETWEEN(1, 12)), ", ", INDEX('Data Sources'!C$2:C$13, RANDBETWEEN(1, 12)))</f>
        <v>bar, continental breakfast, free parking</v>
      </c>
      <c r="G3">
        <f t="shared" ref="G3:G51" ca="1" si="0">RANDBETWEEN(0,1)</f>
        <v>0</v>
      </c>
      <c r="H3">
        <f t="shared" ref="H3:H51" ca="1" si="1">RANDBETWEEN(0,1)</f>
        <v>1</v>
      </c>
      <c r="I3" s="3">
        <f t="shared" ref="I3:I51" ca="1" si="2">RANDBETWEEN(DATE(1950,1,1), DATE(2018,10,1))</f>
        <v>25678</v>
      </c>
      <c r="J3" s="4">
        <f t="shared" ref="J3:J51" ca="1" si="3">ROUND(RAND()*3,1)+2</f>
        <v>4.2</v>
      </c>
    </row>
    <row r="4" spans="1:10" ht="105" x14ac:dyDescent="0.25">
      <c r="A4">
        <v>3</v>
      </c>
      <c r="B4" t="s">
        <v>14</v>
      </c>
      <c r="C4" s="1" t="s">
        <v>92</v>
      </c>
      <c r="D4" s="2" t="s">
        <v>140</v>
      </c>
      <c r="E4" t="str">
        <f ca="1">INDEX('Data Sources'!A$2:A$7, RANDBETWEEN(1, 6))</f>
        <v>Budget</v>
      </c>
      <c r="F4" t="str">
        <f ca="1">_xlfn.CONCAT(INDEX('Data Sources'!C$2:C$13, RANDBETWEEN(1, 12)), ", ", INDEX('Data Sources'!C$2:C$13, RANDBETWEEN(1, 12)), ", ", INDEX('Data Sources'!C$2:C$13, RANDBETWEEN(1, 12)))</f>
        <v>view, free parking, bar</v>
      </c>
      <c r="G4">
        <f t="shared" ca="1" si="0"/>
        <v>0</v>
      </c>
      <c r="H4">
        <f t="shared" ca="1" si="1"/>
        <v>0</v>
      </c>
      <c r="I4" s="3">
        <f t="shared" ca="1" si="2"/>
        <v>33204</v>
      </c>
      <c r="J4" s="4">
        <f t="shared" ca="1" si="3"/>
        <v>3.3</v>
      </c>
    </row>
    <row r="5" spans="1:10" ht="135" x14ac:dyDescent="0.25">
      <c r="A5">
        <v>4</v>
      </c>
      <c r="B5" t="s">
        <v>15</v>
      </c>
      <c r="C5" s="1" t="s">
        <v>93</v>
      </c>
      <c r="D5" s="2" t="s">
        <v>141</v>
      </c>
      <c r="E5" t="str">
        <f ca="1">INDEX('Data Sources'!A$2:A$7, RANDBETWEEN(1, 6))</f>
        <v>Boutique</v>
      </c>
      <c r="F5" t="str">
        <f ca="1">_xlfn.CONCAT(INDEX('Data Sources'!C$2:C$13, RANDBETWEEN(1, 12)), ", ", INDEX('Data Sources'!C$2:C$13, RANDBETWEEN(1, 12)), ", ", INDEX('Data Sources'!C$2:C$13, RANDBETWEEN(1, 12)))</f>
        <v>free parking, view, concierge</v>
      </c>
      <c r="G5">
        <f t="shared" ca="1" si="0"/>
        <v>1</v>
      </c>
      <c r="H5">
        <f t="shared" ca="1" si="1"/>
        <v>1</v>
      </c>
      <c r="I5" s="3">
        <f t="shared" ca="1" si="2"/>
        <v>19384</v>
      </c>
      <c r="J5" s="4">
        <f t="shared" ca="1" si="3"/>
        <v>4.5</v>
      </c>
    </row>
    <row r="6" spans="1:10" ht="210" x14ac:dyDescent="0.25">
      <c r="A6">
        <v>5</v>
      </c>
      <c r="B6" t="s">
        <v>16</v>
      </c>
      <c r="C6" s="1" t="s">
        <v>94</v>
      </c>
      <c r="D6" s="2" t="s">
        <v>142</v>
      </c>
      <c r="E6" t="str">
        <f ca="1">INDEX('Data Sources'!A$2:A$7, RANDBETWEEN(1, 6))</f>
        <v>Extended-Stay</v>
      </c>
      <c r="F6" t="str">
        <f ca="1">_xlfn.CONCAT(INDEX('Data Sources'!C$2:C$13, RANDBETWEEN(1, 12)), ", ", INDEX('Data Sources'!C$2:C$13, RANDBETWEEN(1, 12)), ", ", INDEX('Data Sources'!C$2:C$13, RANDBETWEEN(1, 12)))</f>
        <v>24-hour front desk service, view, free parking</v>
      </c>
      <c r="G6">
        <f t="shared" ca="1" si="0"/>
        <v>0</v>
      </c>
      <c r="H6">
        <f t="shared" ca="1" si="1"/>
        <v>1</v>
      </c>
      <c r="I6" s="3">
        <f t="shared" ca="1" si="2"/>
        <v>42915</v>
      </c>
      <c r="J6" s="4">
        <f t="shared" ca="1" si="3"/>
        <v>4.9000000000000004</v>
      </c>
    </row>
    <row r="7" spans="1:10" ht="90" x14ac:dyDescent="0.25">
      <c r="A7">
        <v>6</v>
      </c>
      <c r="B7" t="s">
        <v>17</v>
      </c>
      <c r="C7" s="1" t="s">
        <v>95</v>
      </c>
      <c r="D7" s="2" t="s">
        <v>143</v>
      </c>
      <c r="E7" t="str">
        <f ca="1">INDEX('Data Sources'!A$2:A$7, RANDBETWEEN(1, 6))</f>
        <v>Budget</v>
      </c>
      <c r="F7" t="str">
        <f ca="1">_xlfn.CONCAT(INDEX('Data Sources'!C$2:C$13, RANDBETWEEN(1, 12)), ", ", INDEX('Data Sources'!C$2:C$13, RANDBETWEEN(1, 12)), ", ", INDEX('Data Sources'!C$2:C$13, RANDBETWEEN(1, 12)))</f>
        <v>coffee in lobby, laundry service, air conditioning</v>
      </c>
      <c r="G7">
        <f t="shared" ca="1" si="0"/>
        <v>0</v>
      </c>
      <c r="H7">
        <f t="shared" ca="1" si="1"/>
        <v>1</v>
      </c>
      <c r="I7" s="3">
        <f t="shared" ca="1" si="2"/>
        <v>36073</v>
      </c>
      <c r="J7" s="4">
        <f t="shared" ca="1" si="3"/>
        <v>3.5</v>
      </c>
    </row>
    <row r="8" spans="1:10" ht="60" x14ac:dyDescent="0.25">
      <c r="A8">
        <v>7</v>
      </c>
      <c r="B8" t="s">
        <v>18</v>
      </c>
      <c r="C8" s="1" t="s">
        <v>96</v>
      </c>
      <c r="D8" s="2" t="s">
        <v>144</v>
      </c>
      <c r="E8" t="str">
        <f ca="1">INDEX('Data Sources'!A$2:A$7, RANDBETWEEN(1, 6))</f>
        <v>Budget</v>
      </c>
      <c r="F8" t="str">
        <f ca="1">_xlfn.CONCAT(INDEX('Data Sources'!C$2:C$13, RANDBETWEEN(1, 12)), ", ", INDEX('Data Sources'!C$2:C$13, RANDBETWEEN(1, 12)), ", ", INDEX('Data Sources'!C$2:C$13, RANDBETWEEN(1, 12)))</f>
        <v>laundry service, continental breakfast, coffee in lobby</v>
      </c>
      <c r="G8">
        <f t="shared" ca="1" si="0"/>
        <v>1</v>
      </c>
      <c r="H8">
        <f t="shared" ca="1" si="1"/>
        <v>1</v>
      </c>
      <c r="I8" s="3">
        <f t="shared" ca="1" si="2"/>
        <v>43196</v>
      </c>
      <c r="J8" s="4">
        <f t="shared" ca="1" si="3"/>
        <v>2.2999999999999998</v>
      </c>
    </row>
    <row r="9" spans="1:10" ht="30" x14ac:dyDescent="0.25">
      <c r="A9">
        <v>8</v>
      </c>
      <c r="B9" t="s">
        <v>19</v>
      </c>
      <c r="C9" s="1" t="s">
        <v>97</v>
      </c>
      <c r="D9" s="2" t="s">
        <v>145</v>
      </c>
      <c r="E9" t="str">
        <f ca="1">INDEX('Data Sources'!A$2:A$7, RANDBETWEEN(1, 6))</f>
        <v>Luxury</v>
      </c>
      <c r="F9" t="str">
        <f ca="1">_xlfn.CONCAT(INDEX('Data Sources'!C$2:C$13, RANDBETWEEN(1, 12)), ", ", INDEX('Data Sources'!C$2:C$13, RANDBETWEEN(1, 12)), ", ", INDEX('Data Sources'!C$2:C$13, RANDBETWEEN(1, 12)))</f>
        <v>pool, continental breakfast, free wifi</v>
      </c>
      <c r="G9">
        <f t="shared" ca="1" si="0"/>
        <v>1</v>
      </c>
      <c r="H9">
        <f t="shared" ca="1" si="1"/>
        <v>1</v>
      </c>
      <c r="I9" s="3">
        <f t="shared" ca="1" si="2"/>
        <v>28307</v>
      </c>
      <c r="J9" s="4">
        <f t="shared" ca="1" si="3"/>
        <v>4.4000000000000004</v>
      </c>
    </row>
    <row r="10" spans="1:10" ht="90" x14ac:dyDescent="0.25">
      <c r="A10">
        <v>9</v>
      </c>
      <c r="B10" t="s">
        <v>20</v>
      </c>
      <c r="C10" s="1" t="s">
        <v>98</v>
      </c>
      <c r="D10" s="2" t="s">
        <v>146</v>
      </c>
      <c r="E10" t="str">
        <f ca="1">INDEX('Data Sources'!A$2:A$7, RANDBETWEEN(1, 6))</f>
        <v>Luxury</v>
      </c>
      <c r="F10" t="str">
        <f ca="1">_xlfn.CONCAT(INDEX('Data Sources'!C$2:C$13, RANDBETWEEN(1, 12)), ", ", INDEX('Data Sources'!C$2:C$13, RANDBETWEEN(1, 12)), ", ", INDEX('Data Sources'!C$2:C$13, RANDBETWEEN(1, 12)))</f>
        <v>pool, restaurant, laundry service</v>
      </c>
      <c r="G10">
        <f t="shared" ca="1" si="0"/>
        <v>1</v>
      </c>
      <c r="H10">
        <f t="shared" ca="1" si="1"/>
        <v>1</v>
      </c>
      <c r="I10" s="3">
        <f t="shared" ca="1" si="2"/>
        <v>18976</v>
      </c>
      <c r="J10" s="4">
        <f t="shared" ca="1" si="3"/>
        <v>2.7</v>
      </c>
    </row>
    <row r="11" spans="1:10" ht="75" x14ac:dyDescent="0.25">
      <c r="A11">
        <v>10</v>
      </c>
      <c r="B11" t="s">
        <v>21</v>
      </c>
      <c r="C11" s="1" t="s">
        <v>99</v>
      </c>
      <c r="D11" s="2" t="s">
        <v>147</v>
      </c>
      <c r="E11" t="str">
        <f ca="1">INDEX('Data Sources'!A$2:A$7, RANDBETWEEN(1, 6))</f>
        <v>Luxury</v>
      </c>
      <c r="F11" t="str">
        <f ca="1">_xlfn.CONCAT(INDEX('Data Sources'!C$2:C$13, RANDBETWEEN(1, 12)), ", ", INDEX('Data Sources'!C$2:C$13, RANDBETWEEN(1, 12)), ", ", INDEX('Data Sources'!C$2:C$13, RANDBETWEEN(1, 12)))</f>
        <v>continental breakfast, pool, 24-hour front desk service</v>
      </c>
      <c r="G11">
        <f t="shared" ca="1" si="0"/>
        <v>1</v>
      </c>
      <c r="H11">
        <f t="shared" ca="1" si="1"/>
        <v>1</v>
      </c>
      <c r="I11" s="3">
        <f t="shared" ca="1" si="2"/>
        <v>40250</v>
      </c>
      <c r="J11" s="4">
        <f t="shared" ca="1" si="3"/>
        <v>3.9</v>
      </c>
    </row>
    <row r="12" spans="1:10" ht="60" x14ac:dyDescent="0.25">
      <c r="A12">
        <v>11</v>
      </c>
      <c r="B12" t="s">
        <v>22</v>
      </c>
      <c r="C12" s="1" t="s">
        <v>100</v>
      </c>
      <c r="D12" s="2" t="s">
        <v>148</v>
      </c>
      <c r="E12" t="str">
        <f ca="1">INDEX('Data Sources'!A$2:A$7, RANDBETWEEN(1, 6))</f>
        <v>Extended-Stay</v>
      </c>
      <c r="F12" t="str">
        <f ca="1">_xlfn.CONCAT(INDEX('Data Sources'!C$2:C$13, RANDBETWEEN(1, 12)), ", ", INDEX('Data Sources'!C$2:C$13, RANDBETWEEN(1, 12)), ", ", INDEX('Data Sources'!C$2:C$13, RANDBETWEEN(1, 12)))</f>
        <v>24-hour front desk service, free parking, 24-hour front desk service</v>
      </c>
      <c r="G12">
        <f t="shared" ca="1" si="0"/>
        <v>1</v>
      </c>
      <c r="H12">
        <f t="shared" ca="1" si="1"/>
        <v>1</v>
      </c>
      <c r="I12" s="3">
        <f t="shared" ca="1" si="2"/>
        <v>24587</v>
      </c>
      <c r="J12" s="4">
        <f t="shared" ca="1" si="3"/>
        <v>4.4000000000000004</v>
      </c>
    </row>
    <row r="13" spans="1:10" ht="75" x14ac:dyDescent="0.25">
      <c r="A13">
        <v>12</v>
      </c>
      <c r="B13" t="s">
        <v>23</v>
      </c>
      <c r="C13" s="1" t="s">
        <v>101</v>
      </c>
      <c r="D13" s="2" t="s">
        <v>149</v>
      </c>
      <c r="E13" t="str">
        <f ca="1">INDEX('Data Sources'!A$2:A$7, RANDBETWEEN(1, 6))</f>
        <v>Extended-Stay</v>
      </c>
      <c r="F13" t="str">
        <f ca="1">_xlfn.CONCAT(INDEX('Data Sources'!C$2:C$13, RANDBETWEEN(1, 12)), ", ", INDEX('Data Sources'!C$2:C$13, RANDBETWEEN(1, 12)), ", ", INDEX('Data Sources'!C$2:C$13, RANDBETWEEN(1, 12)))</f>
        <v>continental breakfast, continental breakfast, bar</v>
      </c>
      <c r="G13">
        <f t="shared" ca="1" si="0"/>
        <v>0</v>
      </c>
      <c r="H13">
        <f t="shared" ca="1" si="1"/>
        <v>1</v>
      </c>
      <c r="I13" s="3">
        <f t="shared" ca="1" si="2"/>
        <v>28993</v>
      </c>
      <c r="J13" s="4">
        <f t="shared" ca="1" si="3"/>
        <v>4.3</v>
      </c>
    </row>
    <row r="14" spans="1:10" ht="75" x14ac:dyDescent="0.25">
      <c r="A14">
        <v>13</v>
      </c>
      <c r="B14" t="s">
        <v>24</v>
      </c>
      <c r="C14" s="1" t="s">
        <v>102</v>
      </c>
      <c r="D14" s="2" t="s">
        <v>150</v>
      </c>
      <c r="E14" t="str">
        <f ca="1">INDEX('Data Sources'!A$2:A$7, RANDBETWEEN(1, 6))</f>
        <v>Resort and Spa</v>
      </c>
      <c r="F14" t="str">
        <f ca="1">_xlfn.CONCAT(INDEX('Data Sources'!C$2:C$13, RANDBETWEEN(1, 12)), ", ", INDEX('Data Sources'!C$2:C$13, RANDBETWEEN(1, 12)), ", ", INDEX('Data Sources'!C$2:C$13, RANDBETWEEN(1, 12)))</f>
        <v>bar, concierge, concierge</v>
      </c>
      <c r="G14">
        <f t="shared" ca="1" si="0"/>
        <v>0</v>
      </c>
      <c r="H14">
        <f t="shared" ca="1" si="1"/>
        <v>0</v>
      </c>
      <c r="I14" s="3">
        <f t="shared" ca="1" si="2"/>
        <v>32478</v>
      </c>
      <c r="J14" s="4">
        <f t="shared" ca="1" si="3"/>
        <v>2.5</v>
      </c>
    </row>
    <row r="15" spans="1:10" ht="60" x14ac:dyDescent="0.25">
      <c r="A15">
        <v>14</v>
      </c>
      <c r="B15" t="s">
        <v>25</v>
      </c>
      <c r="C15" s="1" t="s">
        <v>103</v>
      </c>
      <c r="D15" s="2" t="s">
        <v>151</v>
      </c>
      <c r="E15" t="str">
        <f ca="1">INDEX('Data Sources'!A$2:A$7, RANDBETWEEN(1, 6))</f>
        <v>Extended-Stay</v>
      </c>
      <c r="F15" t="str">
        <f ca="1">_xlfn.CONCAT(INDEX('Data Sources'!C$2:C$13, RANDBETWEEN(1, 12)), ", ", INDEX('Data Sources'!C$2:C$13, RANDBETWEEN(1, 12)), ", ", INDEX('Data Sources'!C$2:C$13, RANDBETWEEN(1, 12)))</f>
        <v>free wifi, continental breakfast, coffee in lobby</v>
      </c>
      <c r="G15">
        <f t="shared" ca="1" si="0"/>
        <v>1</v>
      </c>
      <c r="H15">
        <f t="shared" ca="1" si="1"/>
        <v>0</v>
      </c>
      <c r="I15" s="3">
        <f t="shared" ca="1" si="2"/>
        <v>24304</v>
      </c>
      <c r="J15" s="4">
        <f t="shared" ca="1" si="3"/>
        <v>4.8</v>
      </c>
    </row>
    <row r="16" spans="1:10" ht="90" x14ac:dyDescent="0.25">
      <c r="A16">
        <v>15</v>
      </c>
      <c r="B16" t="s">
        <v>26</v>
      </c>
      <c r="C16" s="1" t="s">
        <v>104</v>
      </c>
      <c r="D16" s="2" t="s">
        <v>152</v>
      </c>
      <c r="E16" t="str">
        <f ca="1">INDEX('Data Sources'!A$2:A$7, RANDBETWEEN(1, 6))</f>
        <v>Luxury</v>
      </c>
      <c r="F16" t="str">
        <f ca="1">_xlfn.CONCAT(INDEX('Data Sources'!C$2:C$13, RANDBETWEEN(1, 12)), ", ", INDEX('Data Sources'!C$2:C$13, RANDBETWEEN(1, 12)), ", ", INDEX('Data Sources'!C$2:C$13, RANDBETWEEN(1, 12)))</f>
        <v>free parking, restaurant, free wifi</v>
      </c>
      <c r="G16">
        <f t="shared" ca="1" si="0"/>
        <v>0</v>
      </c>
      <c r="H16">
        <f t="shared" ca="1" si="1"/>
        <v>1</v>
      </c>
      <c r="I16" s="3">
        <f t="shared" ca="1" si="2"/>
        <v>21575</v>
      </c>
      <c r="J16" s="4">
        <f t="shared" ca="1" si="3"/>
        <v>3.2</v>
      </c>
    </row>
    <row r="17" spans="1:10" ht="75" x14ac:dyDescent="0.25">
      <c r="A17">
        <v>16</v>
      </c>
      <c r="B17" t="s">
        <v>27</v>
      </c>
      <c r="C17" s="1" t="s">
        <v>105</v>
      </c>
      <c r="D17" s="2" t="s">
        <v>153</v>
      </c>
      <c r="E17" t="str">
        <f ca="1">INDEX('Data Sources'!A$2:A$7, RANDBETWEEN(1, 6))</f>
        <v>Suite</v>
      </c>
      <c r="F17" t="str">
        <f ca="1">_xlfn.CONCAT(INDEX('Data Sources'!C$2:C$13, RANDBETWEEN(1, 12)), ", ", INDEX('Data Sources'!C$2:C$13, RANDBETWEEN(1, 12)), ", ", INDEX('Data Sources'!C$2:C$13, RANDBETWEEN(1, 12)))</f>
        <v>concierge, continental breakfast, restaurant</v>
      </c>
      <c r="G17">
        <f t="shared" ca="1" si="0"/>
        <v>0</v>
      </c>
      <c r="H17">
        <f t="shared" ca="1" si="1"/>
        <v>1</v>
      </c>
      <c r="I17" s="3">
        <f t="shared" ca="1" si="2"/>
        <v>24694</v>
      </c>
      <c r="J17" s="4">
        <f t="shared" ca="1" si="3"/>
        <v>4.5</v>
      </c>
    </row>
    <row r="18" spans="1:10" ht="60" x14ac:dyDescent="0.25">
      <c r="A18">
        <v>17</v>
      </c>
      <c r="B18" t="s">
        <v>28</v>
      </c>
      <c r="C18" s="1" t="s">
        <v>106</v>
      </c>
      <c r="D18" s="2" t="s">
        <v>154</v>
      </c>
      <c r="E18" t="str">
        <f ca="1">INDEX('Data Sources'!A$2:A$7, RANDBETWEEN(1, 6))</f>
        <v>Luxury</v>
      </c>
      <c r="F18" t="str">
        <f ca="1">_xlfn.CONCAT(INDEX('Data Sources'!C$2:C$13, RANDBETWEEN(1, 12)), ", ", INDEX('Data Sources'!C$2:C$13, RANDBETWEEN(1, 12)), ", ", INDEX('Data Sources'!C$2:C$13, RANDBETWEEN(1, 12)))</f>
        <v>laundry service, 24-hour front desk service, air conditioning</v>
      </c>
      <c r="G18">
        <f t="shared" ca="1" si="0"/>
        <v>0</v>
      </c>
      <c r="H18">
        <f t="shared" ca="1" si="1"/>
        <v>0</v>
      </c>
      <c r="I18" s="3">
        <f t="shared" ca="1" si="2"/>
        <v>22706</v>
      </c>
      <c r="J18" s="4">
        <f t="shared" ca="1" si="3"/>
        <v>2.9</v>
      </c>
    </row>
    <row r="19" spans="1:10" ht="60" x14ac:dyDescent="0.25">
      <c r="A19">
        <v>18</v>
      </c>
      <c r="B19" t="s">
        <v>29</v>
      </c>
      <c r="C19" s="1" t="s">
        <v>107</v>
      </c>
      <c r="D19" s="2" t="s">
        <v>155</v>
      </c>
      <c r="E19" t="str">
        <f ca="1">INDEX('Data Sources'!A$2:A$7, RANDBETWEEN(1, 6))</f>
        <v>Boutique</v>
      </c>
      <c r="F19" t="str">
        <f ca="1">_xlfn.CONCAT(INDEX('Data Sources'!C$2:C$13, RANDBETWEEN(1, 12)), ", ", INDEX('Data Sources'!C$2:C$13, RANDBETWEEN(1, 12)), ", ", INDEX('Data Sources'!C$2:C$13, RANDBETWEEN(1, 12)))</f>
        <v>free parking, free parking, free parking</v>
      </c>
      <c r="G19">
        <f t="shared" ca="1" si="0"/>
        <v>1</v>
      </c>
      <c r="H19">
        <f t="shared" ca="1" si="1"/>
        <v>1</v>
      </c>
      <c r="I19" s="3">
        <f t="shared" ca="1" si="2"/>
        <v>40159</v>
      </c>
      <c r="J19" s="4">
        <f t="shared" ca="1" si="3"/>
        <v>2.4</v>
      </c>
    </row>
    <row r="20" spans="1:10" ht="60" x14ac:dyDescent="0.25">
      <c r="A20">
        <v>19</v>
      </c>
      <c r="B20" t="s">
        <v>30</v>
      </c>
      <c r="C20" s="1" t="s">
        <v>108</v>
      </c>
      <c r="D20" s="2" t="s">
        <v>156</v>
      </c>
      <c r="E20" t="str">
        <f ca="1">INDEX('Data Sources'!A$2:A$7, RANDBETWEEN(1, 6))</f>
        <v>Extended-Stay</v>
      </c>
      <c r="F20" t="str">
        <f ca="1">_xlfn.CONCAT(INDEX('Data Sources'!C$2:C$13, RANDBETWEEN(1, 12)), ", ", INDEX('Data Sources'!C$2:C$13, RANDBETWEEN(1, 12)), ", ", INDEX('Data Sources'!C$2:C$13, RANDBETWEEN(1, 12)))</f>
        <v>coffee in lobby, free wifi, laundry service</v>
      </c>
      <c r="G20">
        <f t="shared" ca="1" si="0"/>
        <v>0</v>
      </c>
      <c r="H20">
        <f t="shared" ca="1" si="1"/>
        <v>1</v>
      </c>
      <c r="I20" s="3">
        <f t="shared" ca="1" si="2"/>
        <v>41290</v>
      </c>
      <c r="J20" s="4">
        <f t="shared" ca="1" si="3"/>
        <v>4.4000000000000004</v>
      </c>
    </row>
    <row r="21" spans="1:10" ht="75" x14ac:dyDescent="0.25">
      <c r="A21">
        <v>20</v>
      </c>
      <c r="B21" t="s">
        <v>31</v>
      </c>
      <c r="C21" s="1" t="s">
        <v>109</v>
      </c>
      <c r="D21" s="2" t="s">
        <v>157</v>
      </c>
      <c r="E21" t="str">
        <f ca="1">INDEX('Data Sources'!A$2:A$7, RANDBETWEEN(1, 6))</f>
        <v>Resort and Spa</v>
      </c>
      <c r="F21" t="str">
        <f ca="1">_xlfn.CONCAT(INDEX('Data Sources'!C$2:C$13, RANDBETWEEN(1, 12)), ", ", INDEX('Data Sources'!C$2:C$13, RANDBETWEEN(1, 12)), ", ", INDEX('Data Sources'!C$2:C$13, RANDBETWEEN(1, 12)))</f>
        <v>concierge, continental breakfast, view</v>
      </c>
      <c r="G21">
        <f t="shared" ca="1" si="0"/>
        <v>1</v>
      </c>
      <c r="H21">
        <f t="shared" ca="1" si="1"/>
        <v>1</v>
      </c>
      <c r="I21" s="3">
        <f t="shared" ca="1" si="2"/>
        <v>19304</v>
      </c>
      <c r="J21" s="4">
        <f t="shared" ca="1" si="3"/>
        <v>4.5999999999999996</v>
      </c>
    </row>
    <row r="22" spans="1:10" ht="60" x14ac:dyDescent="0.25">
      <c r="A22">
        <v>21</v>
      </c>
      <c r="B22" t="s">
        <v>32</v>
      </c>
      <c r="C22" s="1" t="s">
        <v>110</v>
      </c>
      <c r="D22" s="2" t="s">
        <v>158</v>
      </c>
      <c r="E22" t="str">
        <f ca="1">INDEX('Data Sources'!A$2:A$7, RANDBETWEEN(1, 6))</f>
        <v>Extended-Stay</v>
      </c>
      <c r="F22" t="str">
        <f ca="1">_xlfn.CONCAT(INDEX('Data Sources'!C$2:C$13, RANDBETWEEN(1, 12)), ", ", INDEX('Data Sources'!C$2:C$13, RANDBETWEEN(1, 12)), ", ", INDEX('Data Sources'!C$2:C$13, RANDBETWEEN(1, 12)))</f>
        <v>continental breakfast, view, coffee in lobby</v>
      </c>
      <c r="G22">
        <f t="shared" ca="1" si="0"/>
        <v>1</v>
      </c>
      <c r="H22">
        <f t="shared" ca="1" si="1"/>
        <v>1</v>
      </c>
      <c r="I22" s="3">
        <f t="shared" ca="1" si="2"/>
        <v>27464</v>
      </c>
      <c r="J22" s="4">
        <f t="shared" ca="1" si="3"/>
        <v>4.0999999999999996</v>
      </c>
    </row>
    <row r="23" spans="1:10" ht="90" x14ac:dyDescent="0.25">
      <c r="A23">
        <v>22</v>
      </c>
      <c r="B23" t="s">
        <v>33</v>
      </c>
      <c r="C23" s="1" t="s">
        <v>111</v>
      </c>
      <c r="D23" s="2" t="s">
        <v>159</v>
      </c>
      <c r="E23" t="str">
        <f ca="1">INDEX('Data Sources'!A$2:A$7, RANDBETWEEN(1, 6))</f>
        <v>Suite</v>
      </c>
      <c r="F23" t="str">
        <f ca="1">_xlfn.CONCAT(INDEX('Data Sources'!C$2:C$13, RANDBETWEEN(1, 12)), ", ", INDEX('Data Sources'!C$2:C$13, RANDBETWEEN(1, 12)), ", ", INDEX('Data Sources'!C$2:C$13, RANDBETWEEN(1, 12)))</f>
        <v>free parking, coffee in lobby, pool</v>
      </c>
      <c r="G23">
        <f t="shared" ca="1" si="0"/>
        <v>0</v>
      </c>
      <c r="H23">
        <f t="shared" ca="1" si="1"/>
        <v>1</v>
      </c>
      <c r="I23" s="3">
        <f t="shared" ca="1" si="2"/>
        <v>43159</v>
      </c>
      <c r="J23" s="4">
        <f t="shared" ca="1" si="3"/>
        <v>4.9000000000000004</v>
      </c>
    </row>
    <row r="24" spans="1:10" ht="60" x14ac:dyDescent="0.25">
      <c r="A24">
        <v>23</v>
      </c>
      <c r="B24" t="s">
        <v>34</v>
      </c>
      <c r="C24" s="1" t="s">
        <v>112</v>
      </c>
      <c r="D24" s="2" t="s">
        <v>160</v>
      </c>
      <c r="E24" t="str">
        <f ca="1">INDEX('Data Sources'!A$2:A$7, RANDBETWEEN(1, 6))</f>
        <v>Budget</v>
      </c>
      <c r="F24" t="str">
        <f ca="1">_xlfn.CONCAT(INDEX('Data Sources'!C$2:C$13, RANDBETWEEN(1, 12)), ", ", INDEX('Data Sources'!C$2:C$13, RANDBETWEEN(1, 12)), ", ", INDEX('Data Sources'!C$2:C$13, RANDBETWEEN(1, 12)))</f>
        <v>24-hour front desk service, restaurant, view</v>
      </c>
      <c r="G24">
        <f t="shared" ca="1" si="0"/>
        <v>0</v>
      </c>
      <c r="H24">
        <f t="shared" ca="1" si="1"/>
        <v>1</v>
      </c>
      <c r="I24" s="3">
        <f t="shared" ca="1" si="2"/>
        <v>38492</v>
      </c>
      <c r="J24" s="4">
        <f t="shared" ca="1" si="3"/>
        <v>3.8</v>
      </c>
    </row>
    <row r="25" spans="1:10" ht="75" x14ac:dyDescent="0.25">
      <c r="A25">
        <v>24</v>
      </c>
      <c r="B25" t="s">
        <v>35</v>
      </c>
      <c r="C25" s="1" t="s">
        <v>113</v>
      </c>
      <c r="D25" s="2" t="s">
        <v>161</v>
      </c>
      <c r="E25" t="str">
        <f ca="1">INDEX('Data Sources'!A$2:A$7, RANDBETWEEN(1, 6))</f>
        <v>Boutique</v>
      </c>
      <c r="F25" t="str">
        <f ca="1">_xlfn.CONCAT(INDEX('Data Sources'!C$2:C$13, RANDBETWEEN(1, 12)), ", ", INDEX('Data Sources'!C$2:C$13, RANDBETWEEN(1, 12)), ", ", INDEX('Data Sources'!C$2:C$13, RANDBETWEEN(1, 12)))</f>
        <v>concierge, view, 24-hour front desk service</v>
      </c>
      <c r="G25">
        <f t="shared" ca="1" si="0"/>
        <v>0</v>
      </c>
      <c r="H25">
        <f t="shared" ca="1" si="1"/>
        <v>1</v>
      </c>
      <c r="I25" s="3">
        <f t="shared" ca="1" si="2"/>
        <v>20119</v>
      </c>
      <c r="J25" s="4">
        <f t="shared" ca="1" si="3"/>
        <v>3.4</v>
      </c>
    </row>
    <row r="26" spans="1:10" ht="105" x14ac:dyDescent="0.25">
      <c r="A26">
        <v>25</v>
      </c>
      <c r="B26" t="s">
        <v>36</v>
      </c>
      <c r="C26" s="1" t="s">
        <v>114</v>
      </c>
      <c r="D26" s="2" t="s">
        <v>162</v>
      </c>
      <c r="E26" t="str">
        <f ca="1">INDEX('Data Sources'!A$2:A$7, RANDBETWEEN(1, 6))</f>
        <v>Budget</v>
      </c>
      <c r="F26" t="str">
        <f ca="1">_xlfn.CONCAT(INDEX('Data Sources'!C$2:C$13, RANDBETWEEN(1, 12)), ", ", INDEX('Data Sources'!C$2:C$13, RANDBETWEEN(1, 12)), ", ", INDEX('Data Sources'!C$2:C$13, RANDBETWEEN(1, 12)))</f>
        <v>restaurant, concierge, restaurant</v>
      </c>
      <c r="G26">
        <f t="shared" ca="1" si="0"/>
        <v>0</v>
      </c>
      <c r="H26">
        <f t="shared" ca="1" si="1"/>
        <v>1</v>
      </c>
      <c r="I26" s="3">
        <f t="shared" ca="1" si="2"/>
        <v>19637</v>
      </c>
      <c r="J26" s="4">
        <f t="shared" ca="1" si="3"/>
        <v>2.6</v>
      </c>
    </row>
    <row r="27" spans="1:10" ht="75" x14ac:dyDescent="0.25">
      <c r="A27">
        <v>26</v>
      </c>
      <c r="B27" t="s">
        <v>37</v>
      </c>
      <c r="C27" s="1" t="s">
        <v>115</v>
      </c>
      <c r="D27" s="2" t="s">
        <v>163</v>
      </c>
      <c r="E27" t="str">
        <f ca="1">INDEX('Data Sources'!A$2:A$7, RANDBETWEEN(1, 6))</f>
        <v>Budget</v>
      </c>
      <c r="F27" t="str">
        <f ca="1">_xlfn.CONCAT(INDEX('Data Sources'!C$2:C$13, RANDBETWEEN(1, 12)), ", ", INDEX('Data Sources'!C$2:C$13, RANDBETWEEN(1, 12)), ", ", INDEX('Data Sources'!C$2:C$13, RANDBETWEEN(1, 12)))</f>
        <v>laundry service, free wifi, view</v>
      </c>
      <c r="G27">
        <f t="shared" ca="1" si="0"/>
        <v>1</v>
      </c>
      <c r="H27">
        <f t="shared" ca="1" si="1"/>
        <v>1</v>
      </c>
      <c r="I27" s="3">
        <f t="shared" ca="1" si="2"/>
        <v>32669</v>
      </c>
      <c r="J27" s="4">
        <f t="shared" ca="1" si="3"/>
        <v>2.8</v>
      </c>
    </row>
    <row r="28" spans="1:10" ht="75" x14ac:dyDescent="0.25">
      <c r="A28">
        <v>27</v>
      </c>
      <c r="B28" t="s">
        <v>38</v>
      </c>
      <c r="C28" s="1" t="s">
        <v>116</v>
      </c>
      <c r="D28" s="2" t="s">
        <v>164</v>
      </c>
      <c r="E28" t="str">
        <f ca="1">INDEX('Data Sources'!A$2:A$7, RANDBETWEEN(1, 6))</f>
        <v>Suite</v>
      </c>
      <c r="F28" t="str">
        <f ca="1">_xlfn.CONCAT(INDEX('Data Sources'!C$2:C$13, RANDBETWEEN(1, 12)), ", ", INDEX('Data Sources'!C$2:C$13, RANDBETWEEN(1, 12)), ", ", INDEX('Data Sources'!C$2:C$13, RANDBETWEEN(1, 12)))</f>
        <v>24-hour front desk service, pool, pool</v>
      </c>
      <c r="G28">
        <f t="shared" ca="1" si="0"/>
        <v>1</v>
      </c>
      <c r="H28">
        <f t="shared" ca="1" si="1"/>
        <v>1</v>
      </c>
      <c r="I28" s="3">
        <f t="shared" ca="1" si="2"/>
        <v>25984</v>
      </c>
      <c r="J28" s="4">
        <f t="shared" ca="1" si="3"/>
        <v>3.2</v>
      </c>
    </row>
    <row r="29" spans="1:10" ht="75" x14ac:dyDescent="0.25">
      <c r="A29">
        <v>28</v>
      </c>
      <c r="B29" t="s">
        <v>39</v>
      </c>
      <c r="C29" s="1" t="s">
        <v>117</v>
      </c>
      <c r="D29" s="2" t="s">
        <v>165</v>
      </c>
      <c r="E29" t="str">
        <f ca="1">INDEX('Data Sources'!A$2:A$7, RANDBETWEEN(1, 6))</f>
        <v>Suite</v>
      </c>
      <c r="F29" t="str">
        <f ca="1">_xlfn.CONCAT(INDEX('Data Sources'!C$2:C$13, RANDBETWEEN(1, 12)), ", ", INDEX('Data Sources'!C$2:C$13, RANDBETWEEN(1, 12)), ", ", INDEX('Data Sources'!C$2:C$13, RANDBETWEEN(1, 12)))</f>
        <v>continental breakfast, view, air conditioning</v>
      </c>
      <c r="G29">
        <f t="shared" ca="1" si="0"/>
        <v>1</v>
      </c>
      <c r="H29">
        <f t="shared" ca="1" si="1"/>
        <v>0</v>
      </c>
      <c r="I29" s="3">
        <f t="shared" ca="1" si="2"/>
        <v>21020</v>
      </c>
      <c r="J29" s="4">
        <f t="shared" ca="1" si="3"/>
        <v>2.9</v>
      </c>
    </row>
    <row r="30" spans="1:10" ht="60" x14ac:dyDescent="0.25">
      <c r="A30">
        <v>29</v>
      </c>
      <c r="B30" t="s">
        <v>40</v>
      </c>
      <c r="C30" s="1" t="s">
        <v>166</v>
      </c>
      <c r="D30" s="2" t="s">
        <v>167</v>
      </c>
      <c r="E30" t="str">
        <f ca="1">INDEX('Data Sources'!A$2:A$7, RANDBETWEEN(1, 6))</f>
        <v>Resort and Spa</v>
      </c>
      <c r="F30" t="str">
        <f ca="1">_xlfn.CONCAT(INDEX('Data Sources'!C$2:C$13, RANDBETWEEN(1, 12)), ", ", INDEX('Data Sources'!C$2:C$13, RANDBETWEEN(1, 12)), ", ", INDEX('Data Sources'!C$2:C$13, RANDBETWEEN(1, 12)))</f>
        <v>continental breakfast, air conditioning, coffee in lobby</v>
      </c>
      <c r="G30">
        <f t="shared" ca="1" si="0"/>
        <v>0</v>
      </c>
      <c r="H30">
        <f t="shared" ca="1" si="1"/>
        <v>0</v>
      </c>
      <c r="I30" s="3">
        <f t="shared" ca="1" si="2"/>
        <v>42871</v>
      </c>
      <c r="J30" s="4">
        <f t="shared" ca="1" si="3"/>
        <v>2.1</v>
      </c>
    </row>
    <row r="31" spans="1:10" ht="75" x14ac:dyDescent="0.25">
      <c r="A31">
        <v>30</v>
      </c>
      <c r="B31" t="s">
        <v>41</v>
      </c>
      <c r="C31" s="1" t="s">
        <v>118</v>
      </c>
      <c r="D31" s="2" t="s">
        <v>168</v>
      </c>
      <c r="E31" t="str">
        <f ca="1">INDEX('Data Sources'!A$2:A$7, RANDBETWEEN(1, 6))</f>
        <v>Luxury</v>
      </c>
      <c r="F31" t="str">
        <f ca="1">_xlfn.CONCAT(INDEX('Data Sources'!C$2:C$13, RANDBETWEEN(1, 12)), ", ", INDEX('Data Sources'!C$2:C$13, RANDBETWEEN(1, 12)), ", ", INDEX('Data Sources'!C$2:C$13, RANDBETWEEN(1, 12)))</f>
        <v>concierge, restaurant, free wifi</v>
      </c>
      <c r="G31">
        <f t="shared" ca="1" si="0"/>
        <v>1</v>
      </c>
      <c r="H31">
        <f t="shared" ca="1" si="1"/>
        <v>1</v>
      </c>
      <c r="I31" s="3">
        <f t="shared" ca="1" si="2"/>
        <v>27176</v>
      </c>
      <c r="J31" s="4">
        <f t="shared" ca="1" si="3"/>
        <v>2.5</v>
      </c>
    </row>
    <row r="32" spans="1:10" ht="60" x14ac:dyDescent="0.25">
      <c r="A32">
        <v>31</v>
      </c>
      <c r="B32" t="s">
        <v>42</v>
      </c>
      <c r="C32" s="1" t="s">
        <v>119</v>
      </c>
      <c r="D32" s="2" t="s">
        <v>169</v>
      </c>
      <c r="E32" t="str">
        <f ca="1">INDEX('Data Sources'!A$2:A$7, RANDBETWEEN(1, 6))</f>
        <v>Boutique</v>
      </c>
      <c r="F32" t="str">
        <f ca="1">_xlfn.CONCAT(INDEX('Data Sources'!C$2:C$13, RANDBETWEEN(1, 12)), ", ", INDEX('Data Sources'!C$2:C$13, RANDBETWEEN(1, 12)), ", ", INDEX('Data Sources'!C$2:C$13, RANDBETWEEN(1, 12)))</f>
        <v>24-hour front desk service, free parking, concierge</v>
      </c>
      <c r="G32">
        <f t="shared" ca="1" si="0"/>
        <v>1</v>
      </c>
      <c r="H32">
        <f t="shared" ca="1" si="1"/>
        <v>1</v>
      </c>
      <c r="I32" s="3">
        <f t="shared" ca="1" si="2"/>
        <v>31236</v>
      </c>
      <c r="J32" s="4">
        <f t="shared" ca="1" si="3"/>
        <v>4.5</v>
      </c>
    </row>
    <row r="33" spans="1:10" ht="60" x14ac:dyDescent="0.25">
      <c r="A33">
        <v>32</v>
      </c>
      <c r="B33" t="s">
        <v>43</v>
      </c>
      <c r="C33" s="1" t="s">
        <v>120</v>
      </c>
      <c r="D33" s="2" t="s">
        <v>170</v>
      </c>
      <c r="E33" t="str">
        <f ca="1">INDEX('Data Sources'!A$2:A$7, RANDBETWEEN(1, 6))</f>
        <v>Suite</v>
      </c>
      <c r="F33" t="str">
        <f ca="1">_xlfn.CONCAT(INDEX('Data Sources'!C$2:C$13, RANDBETWEEN(1, 12)), ", ", INDEX('Data Sources'!C$2:C$13, RANDBETWEEN(1, 12)), ", ", INDEX('Data Sources'!C$2:C$13, RANDBETWEEN(1, 12)))</f>
        <v>air conditioning, 24-hour front desk service, pool</v>
      </c>
      <c r="G33">
        <f t="shared" ca="1" si="0"/>
        <v>0</v>
      </c>
      <c r="H33">
        <f t="shared" ca="1" si="1"/>
        <v>1</v>
      </c>
      <c r="I33" s="3">
        <f t="shared" ca="1" si="2"/>
        <v>21641</v>
      </c>
      <c r="J33" s="4">
        <f t="shared" ca="1" si="3"/>
        <v>3</v>
      </c>
    </row>
    <row r="34" spans="1:10" ht="60" x14ac:dyDescent="0.25">
      <c r="A34">
        <v>33</v>
      </c>
      <c r="B34" t="s">
        <v>44</v>
      </c>
      <c r="C34" s="1" t="s">
        <v>108</v>
      </c>
      <c r="D34" s="2" t="s">
        <v>156</v>
      </c>
      <c r="E34" t="str">
        <f ca="1">INDEX('Data Sources'!A$2:A$7, RANDBETWEEN(1, 6))</f>
        <v>Budget</v>
      </c>
      <c r="F34" t="str">
        <f ca="1">_xlfn.CONCAT(INDEX('Data Sources'!C$2:C$13, RANDBETWEEN(1, 12)), ", ", INDEX('Data Sources'!C$2:C$13, RANDBETWEEN(1, 12)), ", ", INDEX('Data Sources'!C$2:C$13, RANDBETWEEN(1, 12)))</f>
        <v>restaurant, view, free parking</v>
      </c>
      <c r="G34">
        <f t="shared" ca="1" si="0"/>
        <v>1</v>
      </c>
      <c r="H34">
        <f t="shared" ca="1" si="1"/>
        <v>1</v>
      </c>
      <c r="I34" s="3">
        <f t="shared" ca="1" si="2"/>
        <v>37264</v>
      </c>
      <c r="J34" s="4">
        <f t="shared" ca="1" si="3"/>
        <v>3.2</v>
      </c>
    </row>
    <row r="35" spans="1:10" ht="90" x14ac:dyDescent="0.25">
      <c r="A35">
        <v>34</v>
      </c>
      <c r="B35" t="s">
        <v>45</v>
      </c>
      <c r="C35" s="1" t="s">
        <v>121</v>
      </c>
      <c r="D35" s="2" t="s">
        <v>171</v>
      </c>
      <c r="E35" t="str">
        <f ca="1">INDEX('Data Sources'!A$2:A$7, RANDBETWEEN(1, 6))</f>
        <v>Extended-Stay</v>
      </c>
      <c r="F35" t="str">
        <f ca="1">_xlfn.CONCAT(INDEX('Data Sources'!C$2:C$13, RANDBETWEEN(1, 12)), ", ", INDEX('Data Sources'!C$2:C$13, RANDBETWEEN(1, 12)), ", ", INDEX('Data Sources'!C$2:C$13, RANDBETWEEN(1, 12)))</f>
        <v>bar, bar, pool</v>
      </c>
      <c r="G35">
        <f t="shared" ca="1" si="0"/>
        <v>1</v>
      </c>
      <c r="H35">
        <f t="shared" ca="1" si="1"/>
        <v>0</v>
      </c>
      <c r="I35" s="3">
        <f t="shared" ca="1" si="2"/>
        <v>38175</v>
      </c>
      <c r="J35" s="4">
        <f t="shared" ca="1" si="3"/>
        <v>4</v>
      </c>
    </row>
    <row r="36" spans="1:10" ht="60" x14ac:dyDescent="0.25">
      <c r="A36">
        <v>35</v>
      </c>
      <c r="B36" t="s">
        <v>46</v>
      </c>
      <c r="C36" s="1" t="s">
        <v>124</v>
      </c>
      <c r="D36" s="2" t="s">
        <v>172</v>
      </c>
      <c r="E36" t="str">
        <f ca="1">INDEX('Data Sources'!A$2:A$7, RANDBETWEEN(1, 6))</f>
        <v>Resort and Spa</v>
      </c>
      <c r="F36" t="str">
        <f ca="1">_xlfn.CONCAT(INDEX('Data Sources'!C$2:C$13, RANDBETWEEN(1, 12)), ", ", INDEX('Data Sources'!C$2:C$13, RANDBETWEEN(1, 12)), ", ", INDEX('Data Sources'!C$2:C$13, RANDBETWEEN(1, 12)))</f>
        <v>coffee in lobby, free parking, coffee in lobby</v>
      </c>
      <c r="G36">
        <f t="shared" ca="1" si="0"/>
        <v>1</v>
      </c>
      <c r="H36">
        <f t="shared" ca="1" si="1"/>
        <v>1</v>
      </c>
      <c r="I36" s="3">
        <f t="shared" ca="1" si="2"/>
        <v>34885</v>
      </c>
      <c r="J36" s="4">
        <f t="shared" ca="1" si="3"/>
        <v>4.0999999999999996</v>
      </c>
    </row>
    <row r="37" spans="1:10" ht="105" x14ac:dyDescent="0.25">
      <c r="A37">
        <v>36</v>
      </c>
      <c r="B37" t="s">
        <v>47</v>
      </c>
      <c r="C37" s="1" t="s">
        <v>123</v>
      </c>
      <c r="D37" s="2" t="s">
        <v>173</v>
      </c>
      <c r="E37" t="str">
        <f ca="1">INDEX('Data Sources'!A$2:A$7, RANDBETWEEN(1, 6))</f>
        <v>Luxury</v>
      </c>
      <c r="F37" t="str">
        <f ca="1">_xlfn.CONCAT(INDEX('Data Sources'!C$2:C$13, RANDBETWEEN(1, 12)), ", ", INDEX('Data Sources'!C$2:C$13, RANDBETWEEN(1, 12)), ", ", INDEX('Data Sources'!C$2:C$13, RANDBETWEEN(1, 12)))</f>
        <v>concierge, laundry service, laundry service</v>
      </c>
      <c r="G37">
        <f t="shared" ca="1" si="0"/>
        <v>0</v>
      </c>
      <c r="H37">
        <f t="shared" ca="1" si="1"/>
        <v>1</v>
      </c>
      <c r="I37" s="3">
        <f t="shared" ca="1" si="2"/>
        <v>31193</v>
      </c>
      <c r="J37" s="4">
        <f t="shared" ca="1" si="3"/>
        <v>4.5</v>
      </c>
    </row>
    <row r="38" spans="1:10" ht="60" x14ac:dyDescent="0.25">
      <c r="A38">
        <v>37</v>
      </c>
      <c r="B38" t="s">
        <v>48</v>
      </c>
      <c r="C38" s="1" t="s">
        <v>122</v>
      </c>
      <c r="D38" s="2" t="s">
        <v>174</v>
      </c>
      <c r="E38" t="str">
        <f ca="1">INDEX('Data Sources'!A$2:A$7, RANDBETWEEN(1, 6))</f>
        <v>Extended-Stay</v>
      </c>
      <c r="F38" t="str">
        <f ca="1">_xlfn.CONCAT(INDEX('Data Sources'!C$2:C$13, RANDBETWEEN(1, 12)), ", ", INDEX('Data Sources'!C$2:C$13, RANDBETWEEN(1, 12)), ", ", INDEX('Data Sources'!C$2:C$13, RANDBETWEEN(1, 12)))</f>
        <v>free parking, free parking, bar</v>
      </c>
      <c r="G38">
        <f t="shared" ca="1" si="0"/>
        <v>1</v>
      </c>
      <c r="H38">
        <f t="shared" ca="1" si="1"/>
        <v>0</v>
      </c>
      <c r="I38" s="3">
        <f t="shared" ca="1" si="2"/>
        <v>32753</v>
      </c>
      <c r="J38" s="4">
        <f t="shared" ca="1" si="3"/>
        <v>4.5999999999999996</v>
      </c>
    </row>
    <row r="39" spans="1:10" ht="75" x14ac:dyDescent="0.25">
      <c r="A39">
        <v>38</v>
      </c>
      <c r="B39" t="s">
        <v>49</v>
      </c>
      <c r="C39" s="1" t="s">
        <v>126</v>
      </c>
      <c r="D39" s="2" t="s">
        <v>175</v>
      </c>
      <c r="E39" t="str">
        <f ca="1">INDEX('Data Sources'!A$2:A$7, RANDBETWEEN(1, 6))</f>
        <v>Luxury</v>
      </c>
      <c r="F39" t="str">
        <f ca="1">_xlfn.CONCAT(INDEX('Data Sources'!C$2:C$13, RANDBETWEEN(1, 12)), ", ", INDEX('Data Sources'!C$2:C$13, RANDBETWEEN(1, 12)), ", ", INDEX('Data Sources'!C$2:C$13, RANDBETWEEN(1, 12)))</f>
        <v>pool, concierge, free parking</v>
      </c>
      <c r="G39">
        <f t="shared" ca="1" si="0"/>
        <v>0</v>
      </c>
      <c r="H39">
        <f ca="1">RANDBETWEEN(0,1)</f>
        <v>1</v>
      </c>
      <c r="I39" s="3">
        <f t="shared" ca="1" si="2"/>
        <v>36184</v>
      </c>
      <c r="J39" s="4">
        <f t="shared" ca="1" si="3"/>
        <v>4</v>
      </c>
    </row>
    <row r="40" spans="1:10" ht="60" x14ac:dyDescent="0.25">
      <c r="A40">
        <v>39</v>
      </c>
      <c r="B40" t="s">
        <v>50</v>
      </c>
      <c r="C40" s="1" t="s">
        <v>127</v>
      </c>
      <c r="D40" s="2" t="s">
        <v>176</v>
      </c>
      <c r="E40" t="str">
        <f ca="1">INDEX('Data Sources'!A$2:A$7, RANDBETWEEN(1, 6))</f>
        <v>Luxury</v>
      </c>
      <c r="F40" t="str">
        <f ca="1">_xlfn.CONCAT(INDEX('Data Sources'!C$2:C$13, RANDBETWEEN(1, 12)), ", ", INDEX('Data Sources'!C$2:C$13, RANDBETWEEN(1, 12)), ", ", INDEX('Data Sources'!C$2:C$13, RANDBETWEEN(1, 12)))</f>
        <v>air conditioning, view, laundry service</v>
      </c>
      <c r="G40">
        <f t="shared" ca="1" si="0"/>
        <v>0</v>
      </c>
      <c r="H40">
        <f t="shared" ca="1" si="1"/>
        <v>0</v>
      </c>
      <c r="I40" s="3">
        <f t="shared" ca="1" si="2"/>
        <v>32832</v>
      </c>
      <c r="J40" s="4">
        <f t="shared" ca="1" si="3"/>
        <v>2.9</v>
      </c>
    </row>
    <row r="41" spans="1:10" ht="75" x14ac:dyDescent="0.25">
      <c r="A41">
        <v>40</v>
      </c>
      <c r="B41" t="s">
        <v>51</v>
      </c>
      <c r="C41" s="1" t="s">
        <v>128</v>
      </c>
      <c r="D41" s="2" t="s">
        <v>177</v>
      </c>
      <c r="E41" t="str">
        <f ca="1">INDEX('Data Sources'!A$2:A$7, RANDBETWEEN(1, 6))</f>
        <v>Resort and Spa</v>
      </c>
      <c r="F41" t="str">
        <f ca="1">_xlfn.CONCAT(INDEX('Data Sources'!C$2:C$13, RANDBETWEEN(1, 12)), ", ", INDEX('Data Sources'!C$2:C$13, RANDBETWEEN(1, 12)), ", ", INDEX('Data Sources'!C$2:C$13, RANDBETWEEN(1, 12)))</f>
        <v>continental breakfast, pool, pool</v>
      </c>
      <c r="G41">
        <f t="shared" ca="1" si="0"/>
        <v>1</v>
      </c>
      <c r="H41">
        <f t="shared" ca="1" si="1"/>
        <v>1</v>
      </c>
      <c r="I41" s="3">
        <f t="shared" ca="1" si="2"/>
        <v>22352</v>
      </c>
      <c r="J41" s="4">
        <f t="shared" ca="1" si="3"/>
        <v>3.7</v>
      </c>
    </row>
    <row r="42" spans="1:10" ht="75" x14ac:dyDescent="0.25">
      <c r="A42">
        <v>41</v>
      </c>
      <c r="B42" t="s">
        <v>52</v>
      </c>
      <c r="C42" s="1" t="s">
        <v>129</v>
      </c>
      <c r="D42" s="2" t="s">
        <v>178</v>
      </c>
      <c r="E42" t="str">
        <f ca="1">INDEX('Data Sources'!A$2:A$7, RANDBETWEEN(1, 6))</f>
        <v>Boutique</v>
      </c>
      <c r="F42" t="str">
        <f ca="1">_xlfn.CONCAT(INDEX('Data Sources'!C$2:C$13, RANDBETWEEN(1, 12)), ", ", INDEX('Data Sources'!C$2:C$13, RANDBETWEEN(1, 12)), ", ", INDEX('Data Sources'!C$2:C$13, RANDBETWEEN(1, 12)))</f>
        <v>restaurant, pool, restaurant</v>
      </c>
      <c r="G42">
        <f t="shared" ca="1" si="0"/>
        <v>1</v>
      </c>
      <c r="H42">
        <f t="shared" ca="1" si="1"/>
        <v>1</v>
      </c>
      <c r="I42" s="3">
        <f t="shared" ca="1" si="2"/>
        <v>34336</v>
      </c>
      <c r="J42" s="4">
        <f t="shared" ca="1" si="3"/>
        <v>4.3</v>
      </c>
    </row>
    <row r="43" spans="1:10" ht="120" x14ac:dyDescent="0.25">
      <c r="A43">
        <v>42</v>
      </c>
      <c r="B43" t="s">
        <v>130</v>
      </c>
      <c r="C43" s="1" t="s">
        <v>131</v>
      </c>
      <c r="D43" s="2" t="s">
        <v>179</v>
      </c>
      <c r="E43" t="str">
        <f ca="1">INDEX('Data Sources'!A$2:A$7, RANDBETWEEN(1, 6))</f>
        <v>Extended-Stay</v>
      </c>
      <c r="F43" t="str">
        <f ca="1">_xlfn.CONCAT(INDEX('Data Sources'!C$2:C$13, RANDBETWEEN(1, 12)), ", ", INDEX('Data Sources'!C$2:C$13, RANDBETWEEN(1, 12)), ", ", INDEX('Data Sources'!C$2:C$13, RANDBETWEEN(1, 12)))</f>
        <v>view, continental breakfast, coffee in lobby</v>
      </c>
      <c r="G43">
        <f t="shared" ca="1" si="0"/>
        <v>1</v>
      </c>
      <c r="H43">
        <f t="shared" ca="1" si="1"/>
        <v>1</v>
      </c>
      <c r="I43" s="3">
        <f t="shared" ca="1" si="2"/>
        <v>28828</v>
      </c>
      <c r="J43" s="4">
        <f t="shared" ca="1" si="3"/>
        <v>2.6</v>
      </c>
    </row>
    <row r="44" spans="1:10" ht="375" x14ac:dyDescent="0.25">
      <c r="A44">
        <v>43</v>
      </c>
      <c r="B44" t="s">
        <v>133</v>
      </c>
      <c r="C44" s="1" t="s">
        <v>135</v>
      </c>
      <c r="D44" s="2" t="s">
        <v>180</v>
      </c>
      <c r="E44" t="str">
        <f ca="1">INDEX('Data Sources'!A$2:A$7, RANDBETWEEN(1, 6))</f>
        <v>Boutique</v>
      </c>
      <c r="F44" t="str">
        <f ca="1">_xlfn.CONCAT(INDEX('Data Sources'!C$2:C$13, RANDBETWEEN(1, 12)), ", ", INDEX('Data Sources'!C$2:C$13, RANDBETWEEN(1, 12)), ", ", INDEX('Data Sources'!C$2:C$13, RANDBETWEEN(1, 12)))</f>
        <v>laundry service, continental breakfast, free parking</v>
      </c>
      <c r="G44">
        <f t="shared" ca="1" si="0"/>
        <v>0</v>
      </c>
      <c r="H44">
        <f t="shared" ca="1" si="1"/>
        <v>1</v>
      </c>
      <c r="I44" s="3">
        <f t="shared" ca="1" si="2"/>
        <v>28315</v>
      </c>
      <c r="J44" s="4">
        <f t="shared" ca="1" si="3"/>
        <v>3</v>
      </c>
    </row>
    <row r="45" spans="1:10" ht="30" x14ac:dyDescent="0.25">
      <c r="A45">
        <v>44</v>
      </c>
      <c r="B45" t="s">
        <v>53</v>
      </c>
      <c r="C45" s="1" t="s">
        <v>134</v>
      </c>
      <c r="D45" s="2" t="s">
        <v>181</v>
      </c>
      <c r="E45" t="str">
        <f ca="1">INDEX('Data Sources'!A$2:A$7, RANDBETWEEN(1, 6))</f>
        <v>Budget</v>
      </c>
      <c r="F45" t="str">
        <f ca="1">_xlfn.CONCAT(INDEX('Data Sources'!C$2:C$13, RANDBETWEEN(1, 12)), ", ", INDEX('Data Sources'!C$2:C$13, RANDBETWEEN(1, 12)), ", ", INDEX('Data Sources'!C$2:C$13, RANDBETWEEN(1, 12)))</f>
        <v>24-hour front desk service, air conditioning, pool</v>
      </c>
      <c r="G45">
        <f t="shared" ca="1" si="0"/>
        <v>1</v>
      </c>
      <c r="H45">
        <f t="shared" ca="1" si="1"/>
        <v>1</v>
      </c>
      <c r="I45" s="3">
        <f t="shared" ca="1" si="2"/>
        <v>34266</v>
      </c>
      <c r="J45" s="4">
        <f t="shared" ca="1" si="3"/>
        <v>2</v>
      </c>
    </row>
    <row r="46" spans="1:10" ht="165" x14ac:dyDescent="0.25">
      <c r="A46">
        <v>45</v>
      </c>
      <c r="B46" t="s">
        <v>54</v>
      </c>
      <c r="C46" s="1" t="s">
        <v>132</v>
      </c>
      <c r="D46" s="2" t="s">
        <v>182</v>
      </c>
      <c r="E46" t="str">
        <f ca="1">INDEX('Data Sources'!A$2:A$7, RANDBETWEEN(1, 6))</f>
        <v>Luxury</v>
      </c>
      <c r="F46" t="str">
        <f ca="1">_xlfn.CONCAT(INDEX('Data Sources'!C$2:C$13, RANDBETWEEN(1, 12)), ", ", INDEX('Data Sources'!C$2:C$13, RANDBETWEEN(1, 12)), ", ", INDEX('Data Sources'!C$2:C$13, RANDBETWEEN(1, 12)))</f>
        <v>concierge, air conditioning, free parking</v>
      </c>
      <c r="G46">
        <f t="shared" ca="1" si="0"/>
        <v>0</v>
      </c>
      <c r="H46">
        <f t="shared" ca="1" si="1"/>
        <v>0</v>
      </c>
      <c r="I46" s="3">
        <f t="shared" ca="1" si="2"/>
        <v>28053</v>
      </c>
      <c r="J46" s="4">
        <f t="shared" ca="1" si="3"/>
        <v>4.7</v>
      </c>
    </row>
    <row r="47" spans="1:10" ht="135" x14ac:dyDescent="0.25">
      <c r="A47">
        <v>46</v>
      </c>
      <c r="B47" t="s">
        <v>55</v>
      </c>
      <c r="C47" s="1" t="s">
        <v>136</v>
      </c>
      <c r="D47" s="2" t="s">
        <v>183</v>
      </c>
      <c r="E47" t="str">
        <f ca="1">INDEX('Data Sources'!A$2:A$7, RANDBETWEEN(1, 6))</f>
        <v>Suite</v>
      </c>
      <c r="F47" t="str">
        <f ca="1">_xlfn.CONCAT(INDEX('Data Sources'!C$2:C$13, RANDBETWEEN(1, 12)), ", ", INDEX('Data Sources'!C$2:C$13, RANDBETWEEN(1, 12)), ", ", INDEX('Data Sources'!C$2:C$13, RANDBETWEEN(1, 12)))</f>
        <v>free wifi, restaurant, bar</v>
      </c>
      <c r="G47">
        <f t="shared" ca="1" si="0"/>
        <v>1</v>
      </c>
      <c r="H47">
        <f t="shared" ca="1" si="1"/>
        <v>0</v>
      </c>
      <c r="I47" s="3">
        <f t="shared" ca="1" si="2"/>
        <v>42262</v>
      </c>
      <c r="J47" s="4">
        <f t="shared" ca="1" si="3"/>
        <v>2.8</v>
      </c>
    </row>
    <row r="48" spans="1:10" ht="75" x14ac:dyDescent="0.25">
      <c r="A48">
        <v>47</v>
      </c>
      <c r="B48" t="s">
        <v>56</v>
      </c>
      <c r="C48" s="1" t="s">
        <v>138</v>
      </c>
      <c r="D48" s="2" t="s">
        <v>184</v>
      </c>
      <c r="E48" t="str">
        <f ca="1">INDEX('Data Sources'!A$2:A$7, RANDBETWEEN(1, 6))</f>
        <v>Suite</v>
      </c>
      <c r="F48" t="str">
        <f ca="1">_xlfn.CONCAT(INDEX('Data Sources'!C$2:C$13, RANDBETWEEN(1, 12)), ", ", INDEX('Data Sources'!C$2:C$13, RANDBETWEEN(1, 12)), ", ", INDEX('Data Sources'!C$2:C$13, RANDBETWEEN(1, 12)))</f>
        <v>continental breakfast, free parking, air conditioning</v>
      </c>
      <c r="G48">
        <f t="shared" ca="1" si="0"/>
        <v>1</v>
      </c>
      <c r="H48">
        <f t="shared" ca="1" si="1"/>
        <v>1</v>
      </c>
      <c r="I48" s="3">
        <f t="shared" ca="1" si="2"/>
        <v>30639</v>
      </c>
      <c r="J48" s="4">
        <f t="shared" ca="1" si="3"/>
        <v>3.3</v>
      </c>
    </row>
    <row r="49" spans="1:10" ht="120" x14ac:dyDescent="0.25">
      <c r="A49">
        <v>48</v>
      </c>
      <c r="B49" t="s">
        <v>57</v>
      </c>
      <c r="C49" s="1" t="s">
        <v>137</v>
      </c>
      <c r="D49" s="2" t="s">
        <v>185</v>
      </c>
      <c r="E49" t="str">
        <f ca="1">INDEX('Data Sources'!A$2:A$7, RANDBETWEEN(1, 6))</f>
        <v>Luxury</v>
      </c>
      <c r="F49" t="str">
        <f ca="1">_xlfn.CONCAT(INDEX('Data Sources'!C$2:C$13, RANDBETWEEN(1, 12)), ", ", INDEX('Data Sources'!C$2:C$13, RANDBETWEEN(1, 12)), ", ", INDEX('Data Sources'!C$2:C$13, RANDBETWEEN(1, 12)))</f>
        <v>bar, coffee in lobby, concierge</v>
      </c>
      <c r="G49">
        <f t="shared" ca="1" si="0"/>
        <v>1</v>
      </c>
      <c r="H49">
        <f t="shared" ca="1" si="1"/>
        <v>0</v>
      </c>
      <c r="I49" s="3">
        <f t="shared" ca="1" si="2"/>
        <v>25067</v>
      </c>
      <c r="J49" s="4">
        <f t="shared" ca="1" si="3"/>
        <v>4.7</v>
      </c>
    </row>
    <row r="50" spans="1:10" ht="60" x14ac:dyDescent="0.25">
      <c r="A50">
        <v>49</v>
      </c>
      <c r="B50" t="s">
        <v>58</v>
      </c>
      <c r="C50" s="1" t="s">
        <v>125</v>
      </c>
      <c r="D50" s="2" t="s">
        <v>186</v>
      </c>
      <c r="E50" t="str">
        <f ca="1">INDEX('Data Sources'!A$2:A$7, RANDBETWEEN(1, 6))</f>
        <v>Luxury</v>
      </c>
      <c r="F50" t="str">
        <f ca="1">_xlfn.CONCAT(INDEX('Data Sources'!C$2:C$13, RANDBETWEEN(1, 12)), ", ", INDEX('Data Sources'!C$2:C$13, RANDBETWEEN(1, 12)), ", ", INDEX('Data Sources'!C$2:C$13, RANDBETWEEN(1, 12)))</f>
        <v>restaurant, continental breakfast, free parking</v>
      </c>
      <c r="G50">
        <f t="shared" ca="1" si="0"/>
        <v>1</v>
      </c>
      <c r="H50">
        <f t="shared" ca="1" si="1"/>
        <v>0</v>
      </c>
      <c r="I50" s="3">
        <f t="shared" ca="1" si="2"/>
        <v>20724</v>
      </c>
      <c r="J50" s="4">
        <f t="shared" ca="1" si="3"/>
        <v>2.4</v>
      </c>
    </row>
    <row r="51" spans="1:10" ht="135" x14ac:dyDescent="0.25">
      <c r="A51">
        <v>50</v>
      </c>
      <c r="B51" t="s">
        <v>59</v>
      </c>
      <c r="C51" s="1" t="s">
        <v>139</v>
      </c>
      <c r="D51" s="2" t="s">
        <v>187</v>
      </c>
      <c r="E51" t="str">
        <f ca="1">INDEX('Data Sources'!A$2:A$7, RANDBETWEEN(1, 6))</f>
        <v>Boutique</v>
      </c>
      <c r="F51" t="str">
        <f ca="1">_xlfn.CONCAT(INDEX('Data Sources'!C$2:C$13, RANDBETWEEN(1, 12)), ", ", INDEX('Data Sources'!C$2:C$13, RANDBETWEEN(1, 12)), ", ", INDEX('Data Sources'!C$2:C$13, RANDBETWEEN(1, 12)))</f>
        <v>air conditioning, restaurant, free parking</v>
      </c>
      <c r="G51">
        <f t="shared" ca="1" si="0"/>
        <v>1</v>
      </c>
      <c r="H51">
        <f t="shared" ca="1" si="1"/>
        <v>1</v>
      </c>
      <c r="I51" s="3">
        <f t="shared" ca="1" si="2"/>
        <v>38336</v>
      </c>
      <c r="J51" s="4">
        <f t="shared" ca="1" si="3"/>
        <v>3.5</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255FC-EEEE-4C95-BE52-8BF2012B4B31}">
  <sheetPr codeName="Sheet2"/>
  <dimension ref="A1:I758"/>
  <sheetViews>
    <sheetView tabSelected="1" workbookViewId="0">
      <selection activeCell="F2" sqref="F2"/>
    </sheetView>
  </sheetViews>
  <sheetFormatPr defaultRowHeight="15" x14ac:dyDescent="0.25"/>
  <cols>
    <col min="1" max="1" width="31.140625" customWidth="1"/>
    <col min="2" max="2" width="45.42578125" bestFit="1" customWidth="1"/>
    <col min="3" max="3" width="13.5703125" bestFit="1" customWidth="1"/>
    <col min="4" max="6" width="16.28515625" customWidth="1"/>
    <col min="7" max="7" width="14.5703125" bestFit="1" customWidth="1"/>
    <col min="8" max="8" width="16.140625" bestFit="1" customWidth="1"/>
    <col min="9" max="9" width="23.5703125" bestFit="1" customWidth="1"/>
  </cols>
  <sheetData>
    <row r="1" spans="1:9" x14ac:dyDescent="0.25">
      <c r="A1" t="s">
        <v>0</v>
      </c>
      <c r="B1" t="s">
        <v>2</v>
      </c>
      <c r="C1" t="s">
        <v>4</v>
      </c>
      <c r="D1" t="s">
        <v>11</v>
      </c>
      <c r="E1" t="s">
        <v>1</v>
      </c>
      <c r="F1" t="s">
        <v>451</v>
      </c>
      <c r="G1" t="s">
        <v>248</v>
      </c>
      <c r="H1" t="s">
        <v>8</v>
      </c>
      <c r="I1" t="s">
        <v>6</v>
      </c>
    </row>
    <row r="2" spans="1:9" x14ac:dyDescent="0.25">
      <c r="A2">
        <v>1</v>
      </c>
      <c r="B2" t="s">
        <v>255</v>
      </c>
      <c r="D2" t="s">
        <v>250</v>
      </c>
      <c r="E2">
        <v>96.99</v>
      </c>
      <c r="F2" t="s">
        <v>195</v>
      </c>
      <c r="G2">
        <v>2</v>
      </c>
      <c r="H2">
        <v>1</v>
      </c>
      <c r="I2" t="s">
        <v>87</v>
      </c>
    </row>
    <row r="3" spans="1:9" x14ac:dyDescent="0.25">
      <c r="A3">
        <v>1</v>
      </c>
      <c r="B3" t="s">
        <v>274</v>
      </c>
      <c r="D3" t="s">
        <v>250</v>
      </c>
      <c r="E3">
        <v>80.989999999999995</v>
      </c>
      <c r="F3" t="s">
        <v>193</v>
      </c>
      <c r="G3">
        <v>2</v>
      </c>
      <c r="H3">
        <v>1</v>
      </c>
      <c r="I3" t="s">
        <v>408</v>
      </c>
    </row>
    <row r="4" spans="1:9" x14ac:dyDescent="0.25">
      <c r="A4">
        <v>1</v>
      </c>
      <c r="B4" t="s">
        <v>278</v>
      </c>
      <c r="D4" t="s">
        <v>189</v>
      </c>
      <c r="E4">
        <v>150.99</v>
      </c>
      <c r="F4" t="s">
        <v>196</v>
      </c>
      <c r="G4">
        <v>2</v>
      </c>
      <c r="H4">
        <v>0</v>
      </c>
      <c r="I4" t="s">
        <v>449</v>
      </c>
    </row>
    <row r="5" spans="1:9" x14ac:dyDescent="0.25">
      <c r="A5">
        <v>1</v>
      </c>
      <c r="B5" t="s">
        <v>231</v>
      </c>
      <c r="D5" t="s">
        <v>190</v>
      </c>
      <c r="E5">
        <v>110.99</v>
      </c>
      <c r="F5" t="s">
        <v>193</v>
      </c>
      <c r="G5">
        <v>2</v>
      </c>
      <c r="H5">
        <v>0</v>
      </c>
      <c r="I5" t="s">
        <v>308</v>
      </c>
    </row>
    <row r="6" spans="1:9" x14ac:dyDescent="0.25">
      <c r="A6">
        <v>1</v>
      </c>
      <c r="B6" t="s">
        <v>214</v>
      </c>
      <c r="D6" t="s">
        <v>66</v>
      </c>
      <c r="E6">
        <v>243.99</v>
      </c>
      <c r="F6" t="s">
        <v>195</v>
      </c>
      <c r="G6">
        <v>2</v>
      </c>
      <c r="H6">
        <v>0</v>
      </c>
      <c r="I6" t="s">
        <v>82</v>
      </c>
    </row>
    <row r="7" spans="1:9" x14ac:dyDescent="0.25">
      <c r="A7">
        <v>1</v>
      </c>
      <c r="B7" t="s">
        <v>233</v>
      </c>
      <c r="D7" t="s">
        <v>66</v>
      </c>
      <c r="E7">
        <v>230.99</v>
      </c>
      <c r="F7" t="s">
        <v>194</v>
      </c>
      <c r="G7">
        <v>4</v>
      </c>
      <c r="H7">
        <v>1</v>
      </c>
      <c r="I7" t="s">
        <v>338</v>
      </c>
    </row>
    <row r="8" spans="1:9" x14ac:dyDescent="0.25">
      <c r="A8">
        <v>1</v>
      </c>
      <c r="B8" t="s">
        <v>270</v>
      </c>
      <c r="D8" t="s">
        <v>250</v>
      </c>
      <c r="E8">
        <v>87.99</v>
      </c>
      <c r="F8" t="s">
        <v>193</v>
      </c>
      <c r="G8">
        <v>2</v>
      </c>
      <c r="H8">
        <v>0</v>
      </c>
      <c r="I8" t="s">
        <v>86</v>
      </c>
    </row>
    <row r="9" spans="1:9" x14ac:dyDescent="0.25">
      <c r="A9">
        <v>1</v>
      </c>
      <c r="B9" t="s">
        <v>237</v>
      </c>
      <c r="D9" t="s">
        <v>66</v>
      </c>
      <c r="E9">
        <v>262.99</v>
      </c>
      <c r="F9" t="s">
        <v>193</v>
      </c>
      <c r="G9">
        <v>2</v>
      </c>
      <c r="H9">
        <v>0</v>
      </c>
      <c r="I9" t="s">
        <v>293</v>
      </c>
    </row>
    <row r="10" spans="1:9" x14ac:dyDescent="0.25">
      <c r="A10">
        <v>1</v>
      </c>
      <c r="B10" t="s">
        <v>281</v>
      </c>
      <c r="D10" t="s">
        <v>66</v>
      </c>
      <c r="E10">
        <v>248.99</v>
      </c>
      <c r="F10" t="s">
        <v>196</v>
      </c>
      <c r="G10">
        <v>2</v>
      </c>
      <c r="H10">
        <v>0</v>
      </c>
      <c r="I10" t="s">
        <v>452</v>
      </c>
    </row>
    <row r="11" spans="1:9" x14ac:dyDescent="0.25">
      <c r="A11">
        <v>1</v>
      </c>
      <c r="B11" t="s">
        <v>241</v>
      </c>
      <c r="D11" t="s">
        <v>66</v>
      </c>
      <c r="E11">
        <v>234.99</v>
      </c>
      <c r="F11" t="s">
        <v>193</v>
      </c>
      <c r="G11">
        <v>2</v>
      </c>
      <c r="H11">
        <v>1</v>
      </c>
      <c r="I11" t="s">
        <v>86</v>
      </c>
    </row>
    <row r="12" spans="1:9" x14ac:dyDescent="0.25">
      <c r="A12">
        <v>1</v>
      </c>
      <c r="B12" t="s">
        <v>215</v>
      </c>
      <c r="D12" t="s">
        <v>189</v>
      </c>
      <c r="E12">
        <v>146.99</v>
      </c>
      <c r="F12" t="s">
        <v>193</v>
      </c>
      <c r="G12">
        <v>2</v>
      </c>
      <c r="H12">
        <v>0</v>
      </c>
      <c r="I12" t="s">
        <v>83</v>
      </c>
    </row>
    <row r="13" spans="1:9" x14ac:dyDescent="0.25">
      <c r="A13">
        <v>1</v>
      </c>
      <c r="B13" t="s">
        <v>209</v>
      </c>
      <c r="D13" t="s">
        <v>190</v>
      </c>
      <c r="E13">
        <v>121.99</v>
      </c>
      <c r="F13" t="s">
        <v>193</v>
      </c>
      <c r="G13">
        <v>2</v>
      </c>
      <c r="H13">
        <v>0</v>
      </c>
      <c r="I13" t="s">
        <v>310</v>
      </c>
    </row>
    <row r="14" spans="1:9" x14ac:dyDescent="0.25">
      <c r="A14">
        <v>1</v>
      </c>
      <c r="B14" t="s">
        <v>266</v>
      </c>
      <c r="D14" t="s">
        <v>190</v>
      </c>
      <c r="E14">
        <v>128.99</v>
      </c>
      <c r="F14" t="s">
        <v>196</v>
      </c>
      <c r="G14">
        <v>2</v>
      </c>
      <c r="H14">
        <v>1</v>
      </c>
      <c r="I14" t="s">
        <v>453</v>
      </c>
    </row>
    <row r="15" spans="1:9" x14ac:dyDescent="0.25">
      <c r="A15">
        <v>2</v>
      </c>
      <c r="B15" t="s">
        <v>281</v>
      </c>
      <c r="D15" t="s">
        <v>66</v>
      </c>
      <c r="E15">
        <v>250.99</v>
      </c>
      <c r="F15" t="s">
        <v>196</v>
      </c>
      <c r="G15">
        <v>2</v>
      </c>
      <c r="H15">
        <v>0</v>
      </c>
      <c r="I15" t="s">
        <v>82</v>
      </c>
    </row>
    <row r="16" spans="1:9" x14ac:dyDescent="0.25">
      <c r="A16">
        <v>2</v>
      </c>
      <c r="B16" t="s">
        <v>213</v>
      </c>
      <c r="D16" t="s">
        <v>190</v>
      </c>
      <c r="E16">
        <v>121.99</v>
      </c>
      <c r="F16" t="s">
        <v>195</v>
      </c>
      <c r="G16">
        <v>2</v>
      </c>
      <c r="H16">
        <v>0</v>
      </c>
      <c r="I16" t="s">
        <v>84</v>
      </c>
    </row>
    <row r="17" spans="1:9" x14ac:dyDescent="0.25">
      <c r="A17">
        <v>2</v>
      </c>
      <c r="B17" t="s">
        <v>270</v>
      </c>
      <c r="D17" t="s">
        <v>250</v>
      </c>
      <c r="E17">
        <v>88.99</v>
      </c>
      <c r="F17" t="s">
        <v>193</v>
      </c>
      <c r="G17">
        <v>2</v>
      </c>
      <c r="H17">
        <v>0</v>
      </c>
      <c r="I17" t="s">
        <v>436</v>
      </c>
    </row>
    <row r="18" spans="1:9" x14ac:dyDescent="0.25">
      <c r="A18">
        <v>2</v>
      </c>
      <c r="B18" t="s">
        <v>265</v>
      </c>
      <c r="D18" t="s">
        <v>190</v>
      </c>
      <c r="E18">
        <v>127.99</v>
      </c>
      <c r="F18" t="s">
        <v>196</v>
      </c>
      <c r="G18">
        <v>2</v>
      </c>
      <c r="H18">
        <v>1</v>
      </c>
      <c r="I18" t="s">
        <v>454</v>
      </c>
    </row>
    <row r="19" spans="1:9" x14ac:dyDescent="0.25">
      <c r="A19">
        <v>2</v>
      </c>
      <c r="B19" t="s">
        <v>276</v>
      </c>
      <c r="D19" t="s">
        <v>250</v>
      </c>
      <c r="E19">
        <v>96.99</v>
      </c>
      <c r="F19" t="s">
        <v>196</v>
      </c>
      <c r="G19">
        <v>2</v>
      </c>
      <c r="H19">
        <v>1</v>
      </c>
      <c r="I19" t="s">
        <v>455</v>
      </c>
    </row>
    <row r="20" spans="1:9" x14ac:dyDescent="0.25">
      <c r="A20">
        <v>2</v>
      </c>
      <c r="B20" t="s">
        <v>257</v>
      </c>
      <c r="D20" t="s">
        <v>250</v>
      </c>
      <c r="E20">
        <v>63.99</v>
      </c>
      <c r="F20" t="s">
        <v>195</v>
      </c>
      <c r="G20">
        <v>2</v>
      </c>
      <c r="H20">
        <v>0</v>
      </c>
      <c r="I20" t="s">
        <v>85</v>
      </c>
    </row>
    <row r="21" spans="1:9" x14ac:dyDescent="0.25">
      <c r="A21">
        <v>2</v>
      </c>
      <c r="B21" t="s">
        <v>225</v>
      </c>
      <c r="D21" t="s">
        <v>190</v>
      </c>
      <c r="E21">
        <v>124.99</v>
      </c>
      <c r="F21" t="s">
        <v>195</v>
      </c>
      <c r="G21">
        <v>2</v>
      </c>
      <c r="H21">
        <v>0</v>
      </c>
      <c r="I21" t="s">
        <v>86</v>
      </c>
    </row>
    <row r="22" spans="1:9" x14ac:dyDescent="0.25">
      <c r="A22">
        <v>2</v>
      </c>
      <c r="B22" t="s">
        <v>244</v>
      </c>
      <c r="D22" t="s">
        <v>190</v>
      </c>
      <c r="E22">
        <v>117.99</v>
      </c>
      <c r="F22" t="s">
        <v>195</v>
      </c>
      <c r="G22">
        <v>2</v>
      </c>
      <c r="H22">
        <v>1</v>
      </c>
      <c r="I22" t="s">
        <v>305</v>
      </c>
    </row>
    <row r="23" spans="1:9" x14ac:dyDescent="0.25">
      <c r="A23">
        <v>3</v>
      </c>
      <c r="B23" t="s">
        <v>247</v>
      </c>
      <c r="D23" t="s">
        <v>190</v>
      </c>
      <c r="E23">
        <v>101.99</v>
      </c>
      <c r="F23" t="s">
        <v>194</v>
      </c>
      <c r="G23">
        <v>4</v>
      </c>
      <c r="H23">
        <v>1</v>
      </c>
      <c r="I23" t="s">
        <v>293</v>
      </c>
    </row>
    <row r="24" spans="1:9" x14ac:dyDescent="0.25">
      <c r="A24">
        <v>3</v>
      </c>
      <c r="B24" t="s">
        <v>263</v>
      </c>
      <c r="D24" t="s">
        <v>190</v>
      </c>
      <c r="E24">
        <v>106.99</v>
      </c>
      <c r="F24" t="s">
        <v>196</v>
      </c>
      <c r="G24">
        <v>2</v>
      </c>
      <c r="H24">
        <v>1</v>
      </c>
      <c r="I24" t="s">
        <v>88</v>
      </c>
    </row>
    <row r="25" spans="1:9" x14ac:dyDescent="0.25">
      <c r="A25">
        <v>3</v>
      </c>
      <c r="B25" t="s">
        <v>276</v>
      </c>
      <c r="D25" t="s">
        <v>250</v>
      </c>
      <c r="E25">
        <v>80.989999999999995</v>
      </c>
      <c r="F25" t="s">
        <v>196</v>
      </c>
      <c r="G25">
        <v>2</v>
      </c>
      <c r="H25">
        <v>1</v>
      </c>
      <c r="I25" t="s">
        <v>85</v>
      </c>
    </row>
    <row r="26" spans="1:9" x14ac:dyDescent="0.25">
      <c r="A26">
        <v>3</v>
      </c>
      <c r="B26" t="s">
        <v>211</v>
      </c>
      <c r="D26" t="s">
        <v>189</v>
      </c>
      <c r="E26">
        <v>162.99</v>
      </c>
      <c r="F26" t="s">
        <v>195</v>
      </c>
      <c r="G26">
        <v>2</v>
      </c>
      <c r="H26">
        <v>1</v>
      </c>
      <c r="I26" t="s">
        <v>291</v>
      </c>
    </row>
    <row r="27" spans="1:9" x14ac:dyDescent="0.25">
      <c r="A27">
        <v>3</v>
      </c>
      <c r="B27" t="s">
        <v>279</v>
      </c>
      <c r="D27" t="s">
        <v>250</v>
      </c>
      <c r="E27">
        <v>81.99</v>
      </c>
      <c r="F27" t="s">
        <v>195</v>
      </c>
      <c r="G27">
        <v>2</v>
      </c>
      <c r="H27">
        <v>0</v>
      </c>
      <c r="I27" t="s">
        <v>456</v>
      </c>
    </row>
    <row r="28" spans="1:9" x14ac:dyDescent="0.25">
      <c r="A28">
        <v>3</v>
      </c>
      <c r="B28" t="s">
        <v>258</v>
      </c>
      <c r="D28" t="s">
        <v>190</v>
      </c>
      <c r="E28">
        <v>124.99</v>
      </c>
      <c r="F28" t="s">
        <v>196</v>
      </c>
      <c r="G28">
        <v>2</v>
      </c>
      <c r="H28">
        <v>1</v>
      </c>
      <c r="I28" t="s">
        <v>82</v>
      </c>
    </row>
    <row r="29" spans="1:9" x14ac:dyDescent="0.25">
      <c r="A29">
        <v>3</v>
      </c>
      <c r="B29" t="s">
        <v>247</v>
      </c>
      <c r="D29" t="s">
        <v>190</v>
      </c>
      <c r="E29">
        <v>127.99</v>
      </c>
      <c r="F29" t="s">
        <v>194</v>
      </c>
      <c r="G29">
        <v>4</v>
      </c>
      <c r="H29">
        <v>0</v>
      </c>
      <c r="I29" t="s">
        <v>321</v>
      </c>
    </row>
    <row r="30" spans="1:9" x14ac:dyDescent="0.25">
      <c r="A30">
        <v>3</v>
      </c>
      <c r="B30" t="s">
        <v>253</v>
      </c>
      <c r="D30" t="s">
        <v>250</v>
      </c>
      <c r="E30">
        <v>66.989999999999995</v>
      </c>
      <c r="F30" t="s">
        <v>194</v>
      </c>
      <c r="G30">
        <v>4</v>
      </c>
      <c r="H30">
        <v>1</v>
      </c>
      <c r="I30" t="s">
        <v>447</v>
      </c>
    </row>
    <row r="31" spans="1:9" x14ac:dyDescent="0.25">
      <c r="A31">
        <v>3</v>
      </c>
      <c r="B31" t="s">
        <v>242</v>
      </c>
      <c r="D31" t="s">
        <v>190</v>
      </c>
      <c r="E31">
        <v>116.99</v>
      </c>
      <c r="F31" t="s">
        <v>195</v>
      </c>
      <c r="G31">
        <v>2</v>
      </c>
      <c r="H31">
        <v>1</v>
      </c>
      <c r="I31" t="s">
        <v>83</v>
      </c>
    </row>
    <row r="32" spans="1:9" x14ac:dyDescent="0.25">
      <c r="A32">
        <v>3</v>
      </c>
      <c r="B32" t="s">
        <v>240</v>
      </c>
      <c r="D32" t="s">
        <v>66</v>
      </c>
      <c r="E32">
        <v>247.99</v>
      </c>
      <c r="F32" t="s">
        <v>194</v>
      </c>
      <c r="G32">
        <v>4</v>
      </c>
      <c r="H32">
        <v>1</v>
      </c>
      <c r="I32" t="s">
        <v>441</v>
      </c>
    </row>
    <row r="33" spans="1:9" x14ac:dyDescent="0.25">
      <c r="A33">
        <v>3</v>
      </c>
      <c r="B33" t="s">
        <v>238</v>
      </c>
      <c r="D33" t="s">
        <v>66</v>
      </c>
      <c r="E33">
        <v>264.99</v>
      </c>
      <c r="F33" t="s">
        <v>193</v>
      </c>
      <c r="G33">
        <v>2</v>
      </c>
      <c r="H33">
        <v>1</v>
      </c>
      <c r="I33" t="s">
        <v>457</v>
      </c>
    </row>
    <row r="34" spans="1:9" x14ac:dyDescent="0.25">
      <c r="A34">
        <v>3</v>
      </c>
      <c r="B34" t="s">
        <v>229</v>
      </c>
      <c r="D34" t="s">
        <v>66</v>
      </c>
      <c r="E34">
        <v>258.99</v>
      </c>
      <c r="F34" t="s">
        <v>194</v>
      </c>
      <c r="G34">
        <v>4</v>
      </c>
      <c r="H34">
        <v>0</v>
      </c>
      <c r="I34" t="s">
        <v>82</v>
      </c>
    </row>
    <row r="35" spans="1:9" x14ac:dyDescent="0.25">
      <c r="A35">
        <v>3</v>
      </c>
      <c r="B35" t="s">
        <v>204</v>
      </c>
      <c r="D35" t="s">
        <v>66</v>
      </c>
      <c r="E35">
        <v>259.99</v>
      </c>
      <c r="F35" t="s">
        <v>193</v>
      </c>
      <c r="G35">
        <v>2</v>
      </c>
      <c r="H35">
        <v>0</v>
      </c>
      <c r="I35" t="s">
        <v>326</v>
      </c>
    </row>
    <row r="36" spans="1:9" x14ac:dyDescent="0.25">
      <c r="A36">
        <v>3</v>
      </c>
      <c r="B36" t="s">
        <v>245</v>
      </c>
      <c r="D36" t="s">
        <v>189</v>
      </c>
      <c r="E36">
        <v>130.99</v>
      </c>
      <c r="F36" t="s">
        <v>195</v>
      </c>
      <c r="G36">
        <v>2</v>
      </c>
      <c r="H36">
        <v>1</v>
      </c>
      <c r="I36" t="s">
        <v>419</v>
      </c>
    </row>
    <row r="37" spans="1:9" x14ac:dyDescent="0.25">
      <c r="A37">
        <v>3</v>
      </c>
      <c r="B37" t="s">
        <v>211</v>
      </c>
      <c r="D37" t="s">
        <v>189</v>
      </c>
      <c r="E37">
        <v>160.99</v>
      </c>
      <c r="F37" t="s">
        <v>195</v>
      </c>
      <c r="G37">
        <v>2</v>
      </c>
      <c r="H37">
        <v>0</v>
      </c>
      <c r="I37" t="s">
        <v>87</v>
      </c>
    </row>
    <row r="38" spans="1:9" x14ac:dyDescent="0.25">
      <c r="A38">
        <v>3</v>
      </c>
      <c r="B38" t="s">
        <v>280</v>
      </c>
      <c r="D38" t="s">
        <v>189</v>
      </c>
      <c r="E38">
        <v>162.99</v>
      </c>
      <c r="F38" t="s">
        <v>196</v>
      </c>
      <c r="G38">
        <v>2</v>
      </c>
      <c r="H38">
        <v>0</v>
      </c>
      <c r="I38" t="s">
        <v>400</v>
      </c>
    </row>
    <row r="39" spans="1:9" x14ac:dyDescent="0.25">
      <c r="A39">
        <v>3</v>
      </c>
      <c r="B39" t="s">
        <v>239</v>
      </c>
      <c r="D39" t="s">
        <v>66</v>
      </c>
      <c r="E39">
        <v>243.99</v>
      </c>
      <c r="F39" t="s">
        <v>195</v>
      </c>
      <c r="G39">
        <v>2</v>
      </c>
      <c r="H39">
        <v>1</v>
      </c>
      <c r="I39" t="s">
        <v>458</v>
      </c>
    </row>
    <row r="40" spans="1:9" x14ac:dyDescent="0.25">
      <c r="A40">
        <v>3</v>
      </c>
      <c r="B40" t="s">
        <v>244</v>
      </c>
      <c r="D40" t="s">
        <v>190</v>
      </c>
      <c r="E40">
        <v>99.99</v>
      </c>
      <c r="F40" t="s">
        <v>195</v>
      </c>
      <c r="G40">
        <v>2</v>
      </c>
      <c r="H40">
        <v>1</v>
      </c>
      <c r="I40" t="s">
        <v>446</v>
      </c>
    </row>
    <row r="41" spans="1:9" x14ac:dyDescent="0.25">
      <c r="A41">
        <v>3</v>
      </c>
      <c r="B41" t="s">
        <v>235</v>
      </c>
      <c r="D41" t="s">
        <v>66</v>
      </c>
      <c r="E41">
        <v>235.99</v>
      </c>
      <c r="F41" t="s">
        <v>194</v>
      </c>
      <c r="G41">
        <v>4</v>
      </c>
      <c r="H41">
        <v>0</v>
      </c>
      <c r="I41" t="s">
        <v>382</v>
      </c>
    </row>
    <row r="42" spans="1:9" x14ac:dyDescent="0.25">
      <c r="A42">
        <v>4</v>
      </c>
      <c r="B42" t="s">
        <v>279</v>
      </c>
      <c r="D42" t="s">
        <v>250</v>
      </c>
      <c r="E42">
        <v>81.99</v>
      </c>
      <c r="F42" t="s">
        <v>195</v>
      </c>
      <c r="G42">
        <v>2</v>
      </c>
      <c r="H42">
        <v>0</v>
      </c>
      <c r="I42" t="s">
        <v>335</v>
      </c>
    </row>
    <row r="43" spans="1:9" x14ac:dyDescent="0.25">
      <c r="A43">
        <v>4</v>
      </c>
      <c r="B43" t="s">
        <v>218</v>
      </c>
      <c r="D43" t="s">
        <v>190</v>
      </c>
      <c r="E43">
        <v>123.99</v>
      </c>
      <c r="F43" t="s">
        <v>193</v>
      </c>
      <c r="G43">
        <v>2</v>
      </c>
      <c r="H43">
        <v>0</v>
      </c>
      <c r="I43" t="s">
        <v>355</v>
      </c>
    </row>
    <row r="44" spans="1:9" x14ac:dyDescent="0.25">
      <c r="A44">
        <v>4</v>
      </c>
      <c r="B44" t="s">
        <v>219</v>
      </c>
      <c r="D44" t="s">
        <v>189</v>
      </c>
      <c r="E44">
        <v>143.99</v>
      </c>
      <c r="F44" t="s">
        <v>193</v>
      </c>
      <c r="G44">
        <v>2</v>
      </c>
      <c r="H44">
        <v>0</v>
      </c>
      <c r="I44" t="s">
        <v>400</v>
      </c>
    </row>
    <row r="45" spans="1:9" x14ac:dyDescent="0.25">
      <c r="A45">
        <v>4</v>
      </c>
      <c r="B45" t="s">
        <v>239</v>
      </c>
      <c r="D45" t="s">
        <v>66</v>
      </c>
      <c r="E45">
        <v>252.99</v>
      </c>
      <c r="F45" t="s">
        <v>195</v>
      </c>
      <c r="G45">
        <v>2</v>
      </c>
      <c r="H45">
        <v>0</v>
      </c>
      <c r="I45" t="s">
        <v>87</v>
      </c>
    </row>
    <row r="46" spans="1:9" x14ac:dyDescent="0.25">
      <c r="A46">
        <v>4</v>
      </c>
      <c r="B46" t="s">
        <v>282</v>
      </c>
      <c r="D46" t="s">
        <v>250</v>
      </c>
      <c r="E46">
        <v>75.989999999999995</v>
      </c>
      <c r="F46" t="s">
        <v>196</v>
      </c>
      <c r="G46">
        <v>2</v>
      </c>
      <c r="H46">
        <v>1</v>
      </c>
      <c r="I46" t="s">
        <v>432</v>
      </c>
    </row>
    <row r="47" spans="1:9" x14ac:dyDescent="0.25">
      <c r="A47">
        <v>4</v>
      </c>
      <c r="B47" t="s">
        <v>229</v>
      </c>
      <c r="D47" t="s">
        <v>66</v>
      </c>
      <c r="E47">
        <v>266.99</v>
      </c>
      <c r="F47" t="s">
        <v>194</v>
      </c>
      <c r="G47">
        <v>4</v>
      </c>
      <c r="H47">
        <v>0</v>
      </c>
      <c r="I47" t="s">
        <v>306</v>
      </c>
    </row>
    <row r="48" spans="1:9" x14ac:dyDescent="0.25">
      <c r="A48">
        <v>4</v>
      </c>
      <c r="B48" t="s">
        <v>211</v>
      </c>
      <c r="D48" t="s">
        <v>189</v>
      </c>
      <c r="E48">
        <v>168.99</v>
      </c>
      <c r="F48" t="s">
        <v>195</v>
      </c>
      <c r="G48">
        <v>2</v>
      </c>
      <c r="H48">
        <v>0</v>
      </c>
      <c r="I48" t="s">
        <v>357</v>
      </c>
    </row>
    <row r="49" spans="1:9" x14ac:dyDescent="0.25">
      <c r="A49">
        <v>4</v>
      </c>
      <c r="B49" t="s">
        <v>259</v>
      </c>
      <c r="D49" t="s">
        <v>66</v>
      </c>
      <c r="E49">
        <v>250.99</v>
      </c>
      <c r="F49" t="s">
        <v>196</v>
      </c>
      <c r="G49">
        <v>2</v>
      </c>
      <c r="H49">
        <v>0</v>
      </c>
      <c r="I49" t="s">
        <v>320</v>
      </c>
    </row>
    <row r="50" spans="1:9" x14ac:dyDescent="0.25">
      <c r="A50">
        <v>4</v>
      </c>
      <c r="B50" t="s">
        <v>285</v>
      </c>
      <c r="D50" t="s">
        <v>250</v>
      </c>
      <c r="E50">
        <v>85.99</v>
      </c>
      <c r="F50" t="s">
        <v>196</v>
      </c>
      <c r="G50">
        <v>2</v>
      </c>
      <c r="H50">
        <v>0</v>
      </c>
      <c r="I50" t="s">
        <v>88</v>
      </c>
    </row>
    <row r="51" spans="1:9" x14ac:dyDescent="0.25">
      <c r="A51">
        <v>4</v>
      </c>
      <c r="B51" t="s">
        <v>217</v>
      </c>
      <c r="D51" t="s">
        <v>190</v>
      </c>
      <c r="E51">
        <v>102.99</v>
      </c>
      <c r="F51" t="s">
        <v>194</v>
      </c>
      <c r="G51">
        <v>4</v>
      </c>
      <c r="H51">
        <v>0</v>
      </c>
      <c r="I51" t="s">
        <v>426</v>
      </c>
    </row>
    <row r="52" spans="1:9" x14ac:dyDescent="0.25">
      <c r="A52">
        <v>4</v>
      </c>
      <c r="B52" t="s">
        <v>251</v>
      </c>
      <c r="D52" t="s">
        <v>189</v>
      </c>
      <c r="E52">
        <v>148.99</v>
      </c>
      <c r="F52" t="s">
        <v>196</v>
      </c>
      <c r="G52">
        <v>2</v>
      </c>
      <c r="H52">
        <v>1</v>
      </c>
      <c r="I52" t="s">
        <v>86</v>
      </c>
    </row>
    <row r="53" spans="1:9" x14ac:dyDescent="0.25">
      <c r="A53">
        <v>4</v>
      </c>
      <c r="B53" t="s">
        <v>275</v>
      </c>
      <c r="D53" t="s">
        <v>250</v>
      </c>
      <c r="E53">
        <v>80.989999999999995</v>
      </c>
      <c r="F53" t="s">
        <v>194</v>
      </c>
      <c r="G53">
        <v>4</v>
      </c>
      <c r="H53">
        <v>0</v>
      </c>
      <c r="I53" t="s">
        <v>82</v>
      </c>
    </row>
    <row r="54" spans="1:9" x14ac:dyDescent="0.25">
      <c r="A54">
        <v>4</v>
      </c>
      <c r="B54" t="s">
        <v>282</v>
      </c>
      <c r="D54" t="s">
        <v>250</v>
      </c>
      <c r="E54">
        <v>87.99</v>
      </c>
      <c r="F54" t="s">
        <v>196</v>
      </c>
      <c r="G54">
        <v>2</v>
      </c>
      <c r="H54">
        <v>0</v>
      </c>
      <c r="I54" t="s">
        <v>373</v>
      </c>
    </row>
    <row r="55" spans="1:9" x14ac:dyDescent="0.25">
      <c r="A55">
        <v>4</v>
      </c>
      <c r="B55" t="s">
        <v>277</v>
      </c>
      <c r="D55" t="s">
        <v>190</v>
      </c>
      <c r="E55">
        <v>100.99</v>
      </c>
      <c r="F55" t="s">
        <v>196</v>
      </c>
      <c r="G55">
        <v>2</v>
      </c>
      <c r="H55">
        <v>1</v>
      </c>
      <c r="I55" t="s">
        <v>349</v>
      </c>
    </row>
    <row r="56" spans="1:9" x14ac:dyDescent="0.25">
      <c r="A56">
        <v>4</v>
      </c>
      <c r="B56" t="s">
        <v>254</v>
      </c>
      <c r="D56" t="s">
        <v>66</v>
      </c>
      <c r="E56">
        <v>251.99</v>
      </c>
      <c r="F56" t="s">
        <v>196</v>
      </c>
      <c r="G56">
        <v>2</v>
      </c>
      <c r="H56">
        <v>0</v>
      </c>
      <c r="I56" t="s">
        <v>296</v>
      </c>
    </row>
    <row r="57" spans="1:9" x14ac:dyDescent="0.25">
      <c r="A57">
        <v>4</v>
      </c>
      <c r="B57" t="s">
        <v>206</v>
      </c>
      <c r="D57" t="s">
        <v>189</v>
      </c>
      <c r="E57">
        <v>166.99</v>
      </c>
      <c r="F57" t="s">
        <v>194</v>
      </c>
      <c r="G57">
        <v>4</v>
      </c>
      <c r="H57">
        <v>0</v>
      </c>
      <c r="I57" t="s">
        <v>459</v>
      </c>
    </row>
    <row r="58" spans="1:9" x14ac:dyDescent="0.25">
      <c r="A58">
        <v>5</v>
      </c>
      <c r="B58" t="s">
        <v>229</v>
      </c>
      <c r="D58" t="s">
        <v>66</v>
      </c>
      <c r="E58">
        <v>247.99</v>
      </c>
      <c r="F58" t="s">
        <v>194</v>
      </c>
      <c r="G58">
        <v>4</v>
      </c>
      <c r="H58">
        <v>0</v>
      </c>
      <c r="I58" t="s">
        <v>353</v>
      </c>
    </row>
    <row r="59" spans="1:9" x14ac:dyDescent="0.25">
      <c r="A59">
        <v>5</v>
      </c>
      <c r="B59" t="s">
        <v>203</v>
      </c>
      <c r="D59" t="s">
        <v>190</v>
      </c>
      <c r="E59">
        <v>99.99</v>
      </c>
      <c r="F59" t="s">
        <v>195</v>
      </c>
      <c r="G59">
        <v>2</v>
      </c>
      <c r="H59">
        <v>1</v>
      </c>
      <c r="I59" t="s">
        <v>309</v>
      </c>
    </row>
    <row r="60" spans="1:9" x14ac:dyDescent="0.25">
      <c r="A60">
        <v>5</v>
      </c>
      <c r="B60" t="s">
        <v>266</v>
      </c>
      <c r="D60" t="s">
        <v>190</v>
      </c>
      <c r="E60">
        <v>134.99</v>
      </c>
      <c r="F60" t="s">
        <v>196</v>
      </c>
      <c r="G60">
        <v>2</v>
      </c>
      <c r="H60">
        <v>0</v>
      </c>
      <c r="I60" t="s">
        <v>325</v>
      </c>
    </row>
    <row r="61" spans="1:9" x14ac:dyDescent="0.25">
      <c r="A61">
        <v>5</v>
      </c>
      <c r="B61" t="s">
        <v>247</v>
      </c>
      <c r="D61" t="s">
        <v>190</v>
      </c>
      <c r="E61">
        <v>101.99</v>
      </c>
      <c r="F61" t="s">
        <v>194</v>
      </c>
      <c r="G61">
        <v>4</v>
      </c>
      <c r="H61">
        <v>1</v>
      </c>
      <c r="I61" t="s">
        <v>354</v>
      </c>
    </row>
    <row r="62" spans="1:9" x14ac:dyDescent="0.25">
      <c r="A62">
        <v>5</v>
      </c>
      <c r="B62" t="s">
        <v>246</v>
      </c>
      <c r="D62" t="s">
        <v>190</v>
      </c>
      <c r="E62">
        <v>105.99</v>
      </c>
      <c r="F62" t="s">
        <v>193</v>
      </c>
      <c r="G62">
        <v>2</v>
      </c>
      <c r="H62">
        <v>0</v>
      </c>
      <c r="I62" t="s">
        <v>293</v>
      </c>
    </row>
    <row r="63" spans="1:9" x14ac:dyDescent="0.25">
      <c r="A63">
        <v>5</v>
      </c>
      <c r="B63" t="s">
        <v>257</v>
      </c>
      <c r="D63" t="s">
        <v>250</v>
      </c>
      <c r="E63">
        <v>63.99</v>
      </c>
      <c r="F63" t="s">
        <v>195</v>
      </c>
      <c r="G63">
        <v>2</v>
      </c>
      <c r="H63">
        <v>1</v>
      </c>
      <c r="I63" t="s">
        <v>310</v>
      </c>
    </row>
    <row r="64" spans="1:9" x14ac:dyDescent="0.25">
      <c r="A64">
        <v>5</v>
      </c>
      <c r="B64" t="s">
        <v>280</v>
      </c>
      <c r="D64" t="s">
        <v>189</v>
      </c>
      <c r="E64">
        <v>135.99</v>
      </c>
      <c r="F64" t="s">
        <v>196</v>
      </c>
      <c r="G64">
        <v>2</v>
      </c>
      <c r="H64">
        <v>0</v>
      </c>
      <c r="I64" t="s">
        <v>290</v>
      </c>
    </row>
    <row r="65" spans="1:9" x14ac:dyDescent="0.25">
      <c r="A65">
        <v>5</v>
      </c>
      <c r="B65" t="s">
        <v>275</v>
      </c>
      <c r="D65" t="s">
        <v>250</v>
      </c>
      <c r="E65">
        <v>78.989999999999995</v>
      </c>
      <c r="F65" t="s">
        <v>194</v>
      </c>
      <c r="G65">
        <v>4</v>
      </c>
      <c r="H65">
        <v>0</v>
      </c>
      <c r="I65" t="s">
        <v>430</v>
      </c>
    </row>
    <row r="66" spans="1:9" x14ac:dyDescent="0.25">
      <c r="A66">
        <v>5</v>
      </c>
      <c r="B66" t="s">
        <v>259</v>
      </c>
      <c r="D66" t="s">
        <v>66</v>
      </c>
      <c r="E66">
        <v>242.99</v>
      </c>
      <c r="F66" t="s">
        <v>196</v>
      </c>
      <c r="G66">
        <v>2</v>
      </c>
      <c r="H66">
        <v>0</v>
      </c>
      <c r="I66" t="s">
        <v>390</v>
      </c>
    </row>
    <row r="67" spans="1:9" x14ac:dyDescent="0.25">
      <c r="A67">
        <v>5</v>
      </c>
      <c r="B67" t="s">
        <v>212</v>
      </c>
      <c r="D67" t="s">
        <v>189</v>
      </c>
      <c r="E67">
        <v>165.99</v>
      </c>
      <c r="F67" t="s">
        <v>193</v>
      </c>
      <c r="G67">
        <v>2</v>
      </c>
      <c r="H67">
        <v>1</v>
      </c>
      <c r="I67" t="s">
        <v>391</v>
      </c>
    </row>
    <row r="68" spans="1:9" x14ac:dyDescent="0.25">
      <c r="A68">
        <v>5</v>
      </c>
      <c r="B68" t="s">
        <v>274</v>
      </c>
      <c r="D68" t="s">
        <v>250</v>
      </c>
      <c r="E68">
        <v>73.989999999999995</v>
      </c>
      <c r="F68" t="s">
        <v>193</v>
      </c>
      <c r="G68">
        <v>2</v>
      </c>
      <c r="H68">
        <v>0</v>
      </c>
      <c r="I68" t="s">
        <v>344</v>
      </c>
    </row>
    <row r="69" spans="1:9" x14ac:dyDescent="0.25">
      <c r="A69">
        <v>5</v>
      </c>
      <c r="B69" t="s">
        <v>283</v>
      </c>
      <c r="D69" t="s">
        <v>189</v>
      </c>
      <c r="E69">
        <v>137.99</v>
      </c>
      <c r="F69" t="s">
        <v>196</v>
      </c>
      <c r="G69">
        <v>2</v>
      </c>
      <c r="H69">
        <v>1</v>
      </c>
      <c r="I69" t="s">
        <v>460</v>
      </c>
    </row>
    <row r="70" spans="1:9" x14ac:dyDescent="0.25">
      <c r="A70">
        <v>5</v>
      </c>
      <c r="B70" t="s">
        <v>256</v>
      </c>
      <c r="D70" t="s">
        <v>250</v>
      </c>
      <c r="E70">
        <v>89.99</v>
      </c>
      <c r="F70" t="s">
        <v>194</v>
      </c>
      <c r="G70">
        <v>4</v>
      </c>
      <c r="H70">
        <v>0</v>
      </c>
      <c r="I70" t="s">
        <v>88</v>
      </c>
    </row>
    <row r="71" spans="1:9" x14ac:dyDescent="0.25">
      <c r="A71">
        <v>6</v>
      </c>
      <c r="B71" t="s">
        <v>216</v>
      </c>
      <c r="D71" t="s">
        <v>190</v>
      </c>
      <c r="E71">
        <v>132.99</v>
      </c>
      <c r="F71" t="s">
        <v>194</v>
      </c>
      <c r="G71">
        <v>4</v>
      </c>
      <c r="H71">
        <v>1</v>
      </c>
      <c r="I71" t="s">
        <v>461</v>
      </c>
    </row>
    <row r="72" spans="1:9" x14ac:dyDescent="0.25">
      <c r="A72">
        <v>6</v>
      </c>
      <c r="B72" t="s">
        <v>208</v>
      </c>
      <c r="D72" t="s">
        <v>190</v>
      </c>
      <c r="E72">
        <v>126.99</v>
      </c>
      <c r="F72" t="s">
        <v>194</v>
      </c>
      <c r="G72">
        <v>4</v>
      </c>
      <c r="H72">
        <v>1</v>
      </c>
      <c r="I72" t="s">
        <v>437</v>
      </c>
    </row>
    <row r="73" spans="1:9" x14ac:dyDescent="0.25">
      <c r="A73">
        <v>6</v>
      </c>
      <c r="B73" t="s">
        <v>285</v>
      </c>
      <c r="D73" t="s">
        <v>250</v>
      </c>
      <c r="E73">
        <v>67.989999999999995</v>
      </c>
      <c r="F73" t="s">
        <v>196</v>
      </c>
      <c r="G73">
        <v>2</v>
      </c>
      <c r="H73">
        <v>1</v>
      </c>
      <c r="I73" t="s">
        <v>83</v>
      </c>
    </row>
    <row r="74" spans="1:9" x14ac:dyDescent="0.25">
      <c r="A74">
        <v>6</v>
      </c>
      <c r="B74" t="s">
        <v>239</v>
      </c>
      <c r="D74" t="s">
        <v>66</v>
      </c>
      <c r="E74">
        <v>252.99</v>
      </c>
      <c r="F74" t="s">
        <v>195</v>
      </c>
      <c r="G74">
        <v>2</v>
      </c>
      <c r="H74">
        <v>1</v>
      </c>
      <c r="I74" t="s">
        <v>84</v>
      </c>
    </row>
    <row r="75" spans="1:9" x14ac:dyDescent="0.25">
      <c r="A75">
        <v>6</v>
      </c>
      <c r="B75" t="s">
        <v>283</v>
      </c>
      <c r="D75" t="s">
        <v>189</v>
      </c>
      <c r="E75">
        <v>168.99</v>
      </c>
      <c r="F75" t="s">
        <v>196</v>
      </c>
      <c r="G75">
        <v>2</v>
      </c>
      <c r="H75">
        <v>1</v>
      </c>
      <c r="I75" t="s">
        <v>346</v>
      </c>
    </row>
    <row r="76" spans="1:9" x14ac:dyDescent="0.25">
      <c r="A76">
        <v>6</v>
      </c>
      <c r="B76" t="s">
        <v>221</v>
      </c>
      <c r="D76" t="s">
        <v>66</v>
      </c>
      <c r="E76">
        <v>257.99</v>
      </c>
      <c r="F76" t="s">
        <v>195</v>
      </c>
      <c r="G76">
        <v>2</v>
      </c>
      <c r="H76">
        <v>0</v>
      </c>
      <c r="I76" t="s">
        <v>84</v>
      </c>
    </row>
    <row r="77" spans="1:9" x14ac:dyDescent="0.25">
      <c r="A77">
        <v>6</v>
      </c>
      <c r="B77" t="s">
        <v>279</v>
      </c>
      <c r="D77" t="s">
        <v>250</v>
      </c>
      <c r="E77">
        <v>83.99</v>
      </c>
      <c r="F77" t="s">
        <v>195</v>
      </c>
      <c r="G77">
        <v>2</v>
      </c>
      <c r="H77">
        <v>1</v>
      </c>
      <c r="I77" t="s">
        <v>86</v>
      </c>
    </row>
    <row r="78" spans="1:9" x14ac:dyDescent="0.25">
      <c r="A78">
        <v>6</v>
      </c>
      <c r="B78" t="s">
        <v>220</v>
      </c>
      <c r="D78" t="s">
        <v>189</v>
      </c>
      <c r="E78">
        <v>148.99</v>
      </c>
      <c r="F78" t="s">
        <v>193</v>
      </c>
      <c r="G78">
        <v>2</v>
      </c>
      <c r="H78">
        <v>1</v>
      </c>
      <c r="I78" t="s">
        <v>82</v>
      </c>
    </row>
    <row r="79" spans="1:9" x14ac:dyDescent="0.25">
      <c r="A79">
        <v>6</v>
      </c>
      <c r="B79" t="s">
        <v>223</v>
      </c>
      <c r="D79" t="s">
        <v>189</v>
      </c>
      <c r="E79">
        <v>162.99</v>
      </c>
      <c r="F79" t="s">
        <v>195</v>
      </c>
      <c r="G79">
        <v>2</v>
      </c>
      <c r="H79">
        <v>1</v>
      </c>
      <c r="I79" t="s">
        <v>252</v>
      </c>
    </row>
    <row r="80" spans="1:9" x14ac:dyDescent="0.25">
      <c r="A80">
        <v>6</v>
      </c>
      <c r="B80" t="s">
        <v>232</v>
      </c>
      <c r="D80" t="s">
        <v>66</v>
      </c>
      <c r="E80">
        <v>240.99</v>
      </c>
      <c r="F80" t="s">
        <v>194</v>
      </c>
      <c r="G80">
        <v>4</v>
      </c>
      <c r="H80">
        <v>1</v>
      </c>
      <c r="I80" t="s">
        <v>294</v>
      </c>
    </row>
    <row r="81" spans="1:9" x14ac:dyDescent="0.25">
      <c r="A81">
        <v>6</v>
      </c>
      <c r="B81" t="s">
        <v>217</v>
      </c>
      <c r="D81" t="s">
        <v>190</v>
      </c>
      <c r="E81">
        <v>105.99</v>
      </c>
      <c r="F81" t="s">
        <v>194</v>
      </c>
      <c r="G81">
        <v>4</v>
      </c>
      <c r="H81">
        <v>0</v>
      </c>
      <c r="I81" t="s">
        <v>334</v>
      </c>
    </row>
    <row r="82" spans="1:9" x14ac:dyDescent="0.25">
      <c r="A82">
        <v>6</v>
      </c>
      <c r="B82" t="s">
        <v>242</v>
      </c>
      <c r="D82" t="s">
        <v>190</v>
      </c>
      <c r="E82">
        <v>107.99</v>
      </c>
      <c r="F82" t="s">
        <v>195</v>
      </c>
      <c r="G82">
        <v>2</v>
      </c>
      <c r="H82">
        <v>0</v>
      </c>
      <c r="I82" t="s">
        <v>417</v>
      </c>
    </row>
    <row r="83" spans="1:9" x14ac:dyDescent="0.25">
      <c r="A83">
        <v>6</v>
      </c>
      <c r="B83" t="s">
        <v>243</v>
      </c>
      <c r="D83" t="s">
        <v>66</v>
      </c>
      <c r="E83">
        <v>247.99</v>
      </c>
      <c r="F83" t="s">
        <v>195</v>
      </c>
      <c r="G83">
        <v>2</v>
      </c>
      <c r="H83">
        <v>1</v>
      </c>
      <c r="I83" t="s">
        <v>85</v>
      </c>
    </row>
    <row r="84" spans="1:9" x14ac:dyDescent="0.25">
      <c r="A84">
        <v>7</v>
      </c>
      <c r="B84" t="s">
        <v>227</v>
      </c>
      <c r="D84" t="s">
        <v>189</v>
      </c>
      <c r="E84">
        <v>161.99</v>
      </c>
      <c r="F84" t="s">
        <v>194</v>
      </c>
      <c r="G84">
        <v>4</v>
      </c>
      <c r="H84">
        <v>1</v>
      </c>
      <c r="I84" t="s">
        <v>306</v>
      </c>
    </row>
    <row r="85" spans="1:9" x14ac:dyDescent="0.25">
      <c r="A85">
        <v>7</v>
      </c>
      <c r="B85" t="s">
        <v>281</v>
      </c>
      <c r="D85" t="s">
        <v>66</v>
      </c>
      <c r="E85">
        <v>248.99</v>
      </c>
      <c r="F85" t="s">
        <v>196</v>
      </c>
      <c r="G85">
        <v>2</v>
      </c>
      <c r="H85">
        <v>0</v>
      </c>
      <c r="I85" t="s">
        <v>317</v>
      </c>
    </row>
    <row r="86" spans="1:9" x14ac:dyDescent="0.25">
      <c r="A86">
        <v>7</v>
      </c>
      <c r="B86" t="s">
        <v>223</v>
      </c>
      <c r="D86" t="s">
        <v>189</v>
      </c>
      <c r="E86">
        <v>161.99</v>
      </c>
      <c r="F86" t="s">
        <v>195</v>
      </c>
      <c r="G86">
        <v>2</v>
      </c>
      <c r="H86">
        <v>0</v>
      </c>
      <c r="I86" t="s">
        <v>462</v>
      </c>
    </row>
    <row r="87" spans="1:9" x14ac:dyDescent="0.25">
      <c r="A87">
        <v>7</v>
      </c>
      <c r="B87" t="s">
        <v>217</v>
      </c>
      <c r="D87" t="s">
        <v>190</v>
      </c>
      <c r="E87">
        <v>99.99</v>
      </c>
      <c r="F87" t="s">
        <v>194</v>
      </c>
      <c r="G87">
        <v>4</v>
      </c>
      <c r="H87">
        <v>1</v>
      </c>
      <c r="I87" t="s">
        <v>82</v>
      </c>
    </row>
    <row r="88" spans="1:9" x14ac:dyDescent="0.25">
      <c r="A88">
        <v>7</v>
      </c>
      <c r="B88" t="s">
        <v>240</v>
      </c>
      <c r="D88" t="s">
        <v>66</v>
      </c>
      <c r="E88">
        <v>256.99</v>
      </c>
      <c r="F88" t="s">
        <v>194</v>
      </c>
      <c r="G88">
        <v>4</v>
      </c>
      <c r="H88">
        <v>0</v>
      </c>
      <c r="I88" t="s">
        <v>303</v>
      </c>
    </row>
    <row r="89" spans="1:9" x14ac:dyDescent="0.25">
      <c r="A89">
        <v>7</v>
      </c>
      <c r="B89" t="s">
        <v>218</v>
      </c>
      <c r="D89" t="s">
        <v>190</v>
      </c>
      <c r="E89">
        <v>108.99</v>
      </c>
      <c r="F89" t="s">
        <v>193</v>
      </c>
      <c r="G89">
        <v>2</v>
      </c>
      <c r="H89">
        <v>0</v>
      </c>
      <c r="I89" t="s">
        <v>84</v>
      </c>
    </row>
    <row r="90" spans="1:9" x14ac:dyDescent="0.25">
      <c r="A90">
        <v>7</v>
      </c>
      <c r="B90" t="s">
        <v>203</v>
      </c>
      <c r="D90" t="s">
        <v>190</v>
      </c>
      <c r="E90">
        <v>120.99</v>
      </c>
      <c r="F90" t="s">
        <v>195</v>
      </c>
      <c r="G90">
        <v>2</v>
      </c>
      <c r="H90">
        <v>0</v>
      </c>
      <c r="I90" t="s">
        <v>389</v>
      </c>
    </row>
    <row r="91" spans="1:9" x14ac:dyDescent="0.25">
      <c r="A91">
        <v>7</v>
      </c>
      <c r="B91" t="s">
        <v>283</v>
      </c>
      <c r="D91" t="s">
        <v>189</v>
      </c>
      <c r="E91">
        <v>159.99</v>
      </c>
      <c r="F91" t="s">
        <v>196</v>
      </c>
      <c r="G91">
        <v>2</v>
      </c>
      <c r="H91">
        <v>1</v>
      </c>
      <c r="I91" t="s">
        <v>86</v>
      </c>
    </row>
    <row r="92" spans="1:9" x14ac:dyDescent="0.25">
      <c r="A92">
        <v>7</v>
      </c>
      <c r="B92" t="s">
        <v>262</v>
      </c>
      <c r="D92" t="s">
        <v>66</v>
      </c>
      <c r="E92">
        <v>263.99</v>
      </c>
      <c r="F92" t="s">
        <v>196</v>
      </c>
      <c r="G92">
        <v>2</v>
      </c>
      <c r="H92">
        <v>0</v>
      </c>
      <c r="I92" t="s">
        <v>307</v>
      </c>
    </row>
    <row r="93" spans="1:9" x14ac:dyDescent="0.25">
      <c r="A93">
        <v>7</v>
      </c>
      <c r="B93" t="s">
        <v>275</v>
      </c>
      <c r="D93" t="s">
        <v>250</v>
      </c>
      <c r="E93">
        <v>60.99</v>
      </c>
      <c r="F93" t="s">
        <v>194</v>
      </c>
      <c r="G93">
        <v>4</v>
      </c>
      <c r="H93">
        <v>1</v>
      </c>
      <c r="I93" t="s">
        <v>376</v>
      </c>
    </row>
    <row r="94" spans="1:9" x14ac:dyDescent="0.25">
      <c r="A94">
        <v>7</v>
      </c>
      <c r="B94" t="s">
        <v>255</v>
      </c>
      <c r="D94" t="s">
        <v>250</v>
      </c>
      <c r="E94">
        <v>74.989999999999995</v>
      </c>
      <c r="F94" t="s">
        <v>195</v>
      </c>
      <c r="G94">
        <v>2</v>
      </c>
      <c r="H94">
        <v>1</v>
      </c>
      <c r="I94" t="s">
        <v>84</v>
      </c>
    </row>
    <row r="95" spans="1:9" x14ac:dyDescent="0.25">
      <c r="A95">
        <v>7</v>
      </c>
      <c r="B95" t="s">
        <v>219</v>
      </c>
      <c r="D95" t="s">
        <v>189</v>
      </c>
      <c r="E95">
        <v>156.99</v>
      </c>
      <c r="F95" t="s">
        <v>193</v>
      </c>
      <c r="G95">
        <v>2</v>
      </c>
      <c r="H95">
        <v>0</v>
      </c>
      <c r="I95" t="s">
        <v>82</v>
      </c>
    </row>
    <row r="96" spans="1:9" x14ac:dyDescent="0.25">
      <c r="A96">
        <v>7</v>
      </c>
      <c r="B96" t="s">
        <v>262</v>
      </c>
      <c r="D96" t="s">
        <v>66</v>
      </c>
      <c r="E96">
        <v>262.99</v>
      </c>
      <c r="F96" t="s">
        <v>196</v>
      </c>
      <c r="G96">
        <v>2</v>
      </c>
      <c r="H96">
        <v>0</v>
      </c>
      <c r="I96" t="s">
        <v>88</v>
      </c>
    </row>
    <row r="97" spans="1:9" x14ac:dyDescent="0.25">
      <c r="A97">
        <v>7</v>
      </c>
      <c r="B97" t="s">
        <v>269</v>
      </c>
      <c r="D97" t="s">
        <v>250</v>
      </c>
      <c r="E97">
        <v>85.99</v>
      </c>
      <c r="F97" t="s">
        <v>196</v>
      </c>
      <c r="G97">
        <v>2</v>
      </c>
      <c r="H97">
        <v>0</v>
      </c>
      <c r="I97" t="s">
        <v>85</v>
      </c>
    </row>
    <row r="98" spans="1:9" x14ac:dyDescent="0.25">
      <c r="A98">
        <v>7</v>
      </c>
      <c r="B98" t="s">
        <v>276</v>
      </c>
      <c r="D98" t="s">
        <v>250</v>
      </c>
      <c r="E98">
        <v>60.99</v>
      </c>
      <c r="F98" t="s">
        <v>196</v>
      </c>
      <c r="G98">
        <v>2</v>
      </c>
      <c r="H98">
        <v>0</v>
      </c>
      <c r="I98" t="s">
        <v>355</v>
      </c>
    </row>
    <row r="99" spans="1:9" x14ac:dyDescent="0.25">
      <c r="A99">
        <v>7</v>
      </c>
      <c r="B99" t="s">
        <v>212</v>
      </c>
      <c r="D99" t="s">
        <v>189</v>
      </c>
      <c r="E99">
        <v>143.99</v>
      </c>
      <c r="F99" t="s">
        <v>193</v>
      </c>
      <c r="G99">
        <v>2</v>
      </c>
      <c r="H99">
        <v>1</v>
      </c>
      <c r="I99" t="s">
        <v>416</v>
      </c>
    </row>
    <row r="100" spans="1:9" x14ac:dyDescent="0.25">
      <c r="A100">
        <v>7</v>
      </c>
      <c r="B100" t="s">
        <v>277</v>
      </c>
      <c r="D100" t="s">
        <v>190</v>
      </c>
      <c r="E100">
        <v>123.99</v>
      </c>
      <c r="F100" t="s">
        <v>196</v>
      </c>
      <c r="G100">
        <v>2</v>
      </c>
      <c r="H100">
        <v>1</v>
      </c>
      <c r="I100" t="s">
        <v>334</v>
      </c>
    </row>
    <row r="101" spans="1:9" x14ac:dyDescent="0.25">
      <c r="A101">
        <v>7</v>
      </c>
      <c r="B101" t="s">
        <v>260</v>
      </c>
      <c r="D101" t="s">
        <v>250</v>
      </c>
      <c r="E101">
        <v>82.99</v>
      </c>
      <c r="F101" t="s">
        <v>193</v>
      </c>
      <c r="G101">
        <v>2</v>
      </c>
      <c r="H101">
        <v>0</v>
      </c>
      <c r="I101" t="s">
        <v>342</v>
      </c>
    </row>
    <row r="102" spans="1:9" x14ac:dyDescent="0.25">
      <c r="A102">
        <v>7</v>
      </c>
      <c r="B102" t="s">
        <v>233</v>
      </c>
      <c r="D102" t="s">
        <v>66</v>
      </c>
      <c r="E102">
        <v>232.99</v>
      </c>
      <c r="F102" t="s">
        <v>194</v>
      </c>
      <c r="G102">
        <v>4</v>
      </c>
      <c r="H102">
        <v>1</v>
      </c>
      <c r="I102" t="s">
        <v>404</v>
      </c>
    </row>
    <row r="103" spans="1:9" x14ac:dyDescent="0.25">
      <c r="A103">
        <v>7</v>
      </c>
      <c r="B103" t="s">
        <v>255</v>
      </c>
      <c r="D103" t="s">
        <v>250</v>
      </c>
      <c r="E103">
        <v>96.99</v>
      </c>
      <c r="F103" t="s">
        <v>195</v>
      </c>
      <c r="G103">
        <v>2</v>
      </c>
      <c r="H103">
        <v>0</v>
      </c>
      <c r="I103" t="s">
        <v>398</v>
      </c>
    </row>
    <row r="104" spans="1:9" x14ac:dyDescent="0.25">
      <c r="A104">
        <v>8</v>
      </c>
      <c r="B104" t="s">
        <v>226</v>
      </c>
      <c r="D104" t="s">
        <v>189</v>
      </c>
      <c r="E104">
        <v>162.99</v>
      </c>
      <c r="F104" t="s">
        <v>195</v>
      </c>
      <c r="G104">
        <v>2</v>
      </c>
      <c r="H104">
        <v>1</v>
      </c>
      <c r="I104" t="s">
        <v>352</v>
      </c>
    </row>
    <row r="105" spans="1:9" x14ac:dyDescent="0.25">
      <c r="A105">
        <v>8</v>
      </c>
      <c r="B105" t="s">
        <v>241</v>
      </c>
      <c r="D105" t="s">
        <v>66</v>
      </c>
      <c r="E105">
        <v>248.99</v>
      </c>
      <c r="F105" t="s">
        <v>193</v>
      </c>
      <c r="G105">
        <v>2</v>
      </c>
      <c r="H105">
        <v>1</v>
      </c>
      <c r="I105" t="s">
        <v>87</v>
      </c>
    </row>
    <row r="106" spans="1:9" x14ac:dyDescent="0.25">
      <c r="A106">
        <v>8</v>
      </c>
      <c r="B106" t="s">
        <v>242</v>
      </c>
      <c r="D106" t="s">
        <v>190</v>
      </c>
      <c r="E106">
        <v>115.99</v>
      </c>
      <c r="F106" t="s">
        <v>195</v>
      </c>
      <c r="G106">
        <v>2</v>
      </c>
      <c r="H106">
        <v>0</v>
      </c>
      <c r="I106" t="s">
        <v>325</v>
      </c>
    </row>
    <row r="107" spans="1:9" x14ac:dyDescent="0.25">
      <c r="A107">
        <v>8</v>
      </c>
      <c r="B107" t="s">
        <v>285</v>
      </c>
      <c r="D107" t="s">
        <v>250</v>
      </c>
      <c r="E107">
        <v>85.99</v>
      </c>
      <c r="F107" t="s">
        <v>196</v>
      </c>
      <c r="G107">
        <v>2</v>
      </c>
      <c r="H107">
        <v>1</v>
      </c>
      <c r="I107" t="s">
        <v>463</v>
      </c>
    </row>
    <row r="108" spans="1:9" x14ac:dyDescent="0.25">
      <c r="A108">
        <v>8</v>
      </c>
      <c r="B108" t="s">
        <v>259</v>
      </c>
      <c r="D108" t="s">
        <v>66</v>
      </c>
      <c r="E108">
        <v>240.99</v>
      </c>
      <c r="F108" t="s">
        <v>196</v>
      </c>
      <c r="G108">
        <v>2</v>
      </c>
      <c r="H108">
        <v>1</v>
      </c>
      <c r="I108" t="s">
        <v>416</v>
      </c>
    </row>
    <row r="109" spans="1:9" x14ac:dyDescent="0.25">
      <c r="A109">
        <v>8</v>
      </c>
      <c r="B109" t="s">
        <v>227</v>
      </c>
      <c r="D109" t="s">
        <v>189</v>
      </c>
      <c r="E109">
        <v>154.99</v>
      </c>
      <c r="F109" t="s">
        <v>194</v>
      </c>
      <c r="G109">
        <v>4</v>
      </c>
      <c r="H109">
        <v>1</v>
      </c>
      <c r="I109" t="s">
        <v>86</v>
      </c>
    </row>
    <row r="110" spans="1:9" x14ac:dyDescent="0.25">
      <c r="A110">
        <v>8</v>
      </c>
      <c r="B110" t="s">
        <v>286</v>
      </c>
      <c r="D110" t="s">
        <v>250</v>
      </c>
      <c r="E110">
        <v>80.989999999999995</v>
      </c>
      <c r="F110" t="s">
        <v>195</v>
      </c>
      <c r="G110">
        <v>2</v>
      </c>
      <c r="H110">
        <v>0</v>
      </c>
      <c r="I110" t="s">
        <v>328</v>
      </c>
    </row>
    <row r="111" spans="1:9" x14ac:dyDescent="0.25">
      <c r="A111">
        <v>8</v>
      </c>
      <c r="B111" t="s">
        <v>281</v>
      </c>
      <c r="D111" t="s">
        <v>66</v>
      </c>
      <c r="E111">
        <v>268.99</v>
      </c>
      <c r="F111" t="s">
        <v>196</v>
      </c>
      <c r="G111">
        <v>2</v>
      </c>
      <c r="H111">
        <v>1</v>
      </c>
      <c r="I111" t="s">
        <v>88</v>
      </c>
    </row>
    <row r="112" spans="1:9" x14ac:dyDescent="0.25">
      <c r="A112">
        <v>8</v>
      </c>
      <c r="B112" t="s">
        <v>206</v>
      </c>
      <c r="D112" t="s">
        <v>189</v>
      </c>
      <c r="E112">
        <v>140.99</v>
      </c>
      <c r="F112" t="s">
        <v>194</v>
      </c>
      <c r="G112">
        <v>4</v>
      </c>
      <c r="H112">
        <v>1</v>
      </c>
      <c r="I112" t="s">
        <v>407</v>
      </c>
    </row>
    <row r="113" spans="1:9" x14ac:dyDescent="0.25">
      <c r="A113">
        <v>8</v>
      </c>
      <c r="B113" t="s">
        <v>239</v>
      </c>
      <c r="D113" t="s">
        <v>66</v>
      </c>
      <c r="E113">
        <v>267.99</v>
      </c>
      <c r="F113" t="s">
        <v>195</v>
      </c>
      <c r="G113">
        <v>2</v>
      </c>
      <c r="H113">
        <v>1</v>
      </c>
      <c r="I113" t="s">
        <v>322</v>
      </c>
    </row>
    <row r="114" spans="1:9" x14ac:dyDescent="0.25">
      <c r="A114">
        <v>8</v>
      </c>
      <c r="B114" t="s">
        <v>230</v>
      </c>
      <c r="D114" t="s">
        <v>189</v>
      </c>
      <c r="E114">
        <v>153.99</v>
      </c>
      <c r="F114" t="s">
        <v>194</v>
      </c>
      <c r="G114">
        <v>4</v>
      </c>
      <c r="H114">
        <v>1</v>
      </c>
      <c r="I114" t="s">
        <v>85</v>
      </c>
    </row>
    <row r="115" spans="1:9" x14ac:dyDescent="0.25">
      <c r="A115">
        <v>8</v>
      </c>
      <c r="B115" t="s">
        <v>224</v>
      </c>
      <c r="D115" t="s">
        <v>190</v>
      </c>
      <c r="E115">
        <v>106.99</v>
      </c>
      <c r="F115" t="s">
        <v>194</v>
      </c>
      <c r="G115">
        <v>4</v>
      </c>
      <c r="H115">
        <v>0</v>
      </c>
      <c r="I115" t="s">
        <v>391</v>
      </c>
    </row>
    <row r="116" spans="1:9" x14ac:dyDescent="0.25">
      <c r="A116">
        <v>8</v>
      </c>
      <c r="B116" t="s">
        <v>203</v>
      </c>
      <c r="D116" t="s">
        <v>190</v>
      </c>
      <c r="E116">
        <v>118.99</v>
      </c>
      <c r="F116" t="s">
        <v>195</v>
      </c>
      <c r="G116">
        <v>2</v>
      </c>
      <c r="H116">
        <v>1</v>
      </c>
      <c r="I116" t="s">
        <v>83</v>
      </c>
    </row>
    <row r="117" spans="1:9" x14ac:dyDescent="0.25">
      <c r="A117">
        <v>8</v>
      </c>
      <c r="B117" t="s">
        <v>220</v>
      </c>
      <c r="D117" t="s">
        <v>189</v>
      </c>
      <c r="E117">
        <v>152.99</v>
      </c>
      <c r="F117" t="s">
        <v>193</v>
      </c>
      <c r="G117">
        <v>2</v>
      </c>
      <c r="H117">
        <v>1</v>
      </c>
      <c r="I117" t="s">
        <v>84</v>
      </c>
    </row>
    <row r="118" spans="1:9" x14ac:dyDescent="0.25">
      <c r="A118">
        <v>8</v>
      </c>
      <c r="B118" t="s">
        <v>268</v>
      </c>
      <c r="D118" t="s">
        <v>250</v>
      </c>
      <c r="E118">
        <v>96.99</v>
      </c>
      <c r="F118" t="s">
        <v>193</v>
      </c>
      <c r="G118">
        <v>2</v>
      </c>
      <c r="H118">
        <v>0</v>
      </c>
      <c r="I118" t="s">
        <v>86</v>
      </c>
    </row>
    <row r="119" spans="1:9" x14ac:dyDescent="0.25">
      <c r="A119">
        <v>9</v>
      </c>
      <c r="B119" t="s">
        <v>218</v>
      </c>
      <c r="D119" t="s">
        <v>190</v>
      </c>
      <c r="E119">
        <v>121.99</v>
      </c>
      <c r="F119" t="s">
        <v>193</v>
      </c>
      <c r="G119">
        <v>2</v>
      </c>
      <c r="H119">
        <v>1</v>
      </c>
      <c r="I119" t="s">
        <v>342</v>
      </c>
    </row>
    <row r="120" spans="1:9" x14ac:dyDescent="0.25">
      <c r="A120">
        <v>9</v>
      </c>
      <c r="B120" t="s">
        <v>206</v>
      </c>
      <c r="D120" t="s">
        <v>189</v>
      </c>
      <c r="E120">
        <v>131.99</v>
      </c>
      <c r="F120" t="s">
        <v>194</v>
      </c>
      <c r="G120">
        <v>4</v>
      </c>
      <c r="H120">
        <v>0</v>
      </c>
      <c r="I120" t="s">
        <v>317</v>
      </c>
    </row>
    <row r="121" spans="1:9" x14ac:dyDescent="0.25">
      <c r="A121">
        <v>9</v>
      </c>
      <c r="B121" t="s">
        <v>228</v>
      </c>
      <c r="D121" t="s">
        <v>189</v>
      </c>
      <c r="E121">
        <v>161.99</v>
      </c>
      <c r="F121" t="s">
        <v>194</v>
      </c>
      <c r="G121">
        <v>4</v>
      </c>
      <c r="H121">
        <v>0</v>
      </c>
      <c r="I121" t="s">
        <v>83</v>
      </c>
    </row>
    <row r="122" spans="1:9" x14ac:dyDescent="0.25">
      <c r="A122">
        <v>9</v>
      </c>
      <c r="B122" t="s">
        <v>244</v>
      </c>
      <c r="D122" t="s">
        <v>190</v>
      </c>
      <c r="E122">
        <v>138.99</v>
      </c>
      <c r="F122" t="s">
        <v>195</v>
      </c>
      <c r="G122">
        <v>2</v>
      </c>
      <c r="H122">
        <v>0</v>
      </c>
      <c r="I122" t="s">
        <v>355</v>
      </c>
    </row>
    <row r="123" spans="1:9" x14ac:dyDescent="0.25">
      <c r="A123">
        <v>9</v>
      </c>
      <c r="B123" t="s">
        <v>210</v>
      </c>
      <c r="D123" t="s">
        <v>189</v>
      </c>
      <c r="E123">
        <v>162.99</v>
      </c>
      <c r="F123" t="s">
        <v>194</v>
      </c>
      <c r="G123">
        <v>4</v>
      </c>
      <c r="H123">
        <v>0</v>
      </c>
      <c r="I123" t="s">
        <v>363</v>
      </c>
    </row>
    <row r="124" spans="1:9" x14ac:dyDescent="0.25">
      <c r="A124">
        <v>9</v>
      </c>
      <c r="B124" t="s">
        <v>269</v>
      </c>
      <c r="D124" t="s">
        <v>250</v>
      </c>
      <c r="E124">
        <v>60.99</v>
      </c>
      <c r="F124" t="s">
        <v>196</v>
      </c>
      <c r="G124">
        <v>2</v>
      </c>
      <c r="H124">
        <v>0</v>
      </c>
      <c r="I124" t="s">
        <v>454</v>
      </c>
    </row>
    <row r="125" spans="1:9" x14ac:dyDescent="0.25">
      <c r="A125">
        <v>9</v>
      </c>
      <c r="B125" t="s">
        <v>205</v>
      </c>
      <c r="D125" t="s">
        <v>189</v>
      </c>
      <c r="E125">
        <v>149.99</v>
      </c>
      <c r="F125" t="s">
        <v>193</v>
      </c>
      <c r="G125">
        <v>2</v>
      </c>
      <c r="H125">
        <v>0</v>
      </c>
      <c r="I125" t="s">
        <v>87</v>
      </c>
    </row>
    <row r="126" spans="1:9" x14ac:dyDescent="0.25">
      <c r="A126">
        <v>9</v>
      </c>
      <c r="B126" t="s">
        <v>235</v>
      </c>
      <c r="D126" t="s">
        <v>66</v>
      </c>
      <c r="E126">
        <v>244.99</v>
      </c>
      <c r="F126" t="s">
        <v>194</v>
      </c>
      <c r="G126">
        <v>4</v>
      </c>
      <c r="H126">
        <v>0</v>
      </c>
      <c r="I126" t="s">
        <v>364</v>
      </c>
    </row>
    <row r="127" spans="1:9" x14ac:dyDescent="0.25">
      <c r="A127">
        <v>9</v>
      </c>
      <c r="B127" t="s">
        <v>211</v>
      </c>
      <c r="D127" t="s">
        <v>189</v>
      </c>
      <c r="E127">
        <v>157.99</v>
      </c>
      <c r="F127" t="s">
        <v>195</v>
      </c>
      <c r="G127">
        <v>2</v>
      </c>
      <c r="H127">
        <v>0</v>
      </c>
      <c r="I127" t="s">
        <v>375</v>
      </c>
    </row>
    <row r="128" spans="1:9" x14ac:dyDescent="0.25">
      <c r="A128">
        <v>9</v>
      </c>
      <c r="B128" t="s">
        <v>283</v>
      </c>
      <c r="D128" t="s">
        <v>189</v>
      </c>
      <c r="E128">
        <v>158.99</v>
      </c>
      <c r="F128" t="s">
        <v>196</v>
      </c>
      <c r="G128">
        <v>2</v>
      </c>
      <c r="H128">
        <v>1</v>
      </c>
      <c r="I128" t="s">
        <v>464</v>
      </c>
    </row>
    <row r="129" spans="1:9" x14ac:dyDescent="0.25">
      <c r="A129">
        <v>9</v>
      </c>
      <c r="B129" t="s">
        <v>207</v>
      </c>
      <c r="D129" t="s">
        <v>190</v>
      </c>
      <c r="E129">
        <v>102.99</v>
      </c>
      <c r="F129" t="s">
        <v>193</v>
      </c>
      <c r="G129">
        <v>2</v>
      </c>
      <c r="H129">
        <v>0</v>
      </c>
      <c r="I129" t="s">
        <v>465</v>
      </c>
    </row>
    <row r="130" spans="1:9" x14ac:dyDescent="0.25">
      <c r="A130">
        <v>9</v>
      </c>
      <c r="B130" t="s">
        <v>255</v>
      </c>
      <c r="D130" t="s">
        <v>250</v>
      </c>
      <c r="E130">
        <v>77.989999999999995</v>
      </c>
      <c r="F130" t="s">
        <v>195</v>
      </c>
      <c r="G130">
        <v>2</v>
      </c>
      <c r="H130">
        <v>0</v>
      </c>
      <c r="I130" t="s">
        <v>87</v>
      </c>
    </row>
    <row r="131" spans="1:9" x14ac:dyDescent="0.25">
      <c r="A131">
        <v>9</v>
      </c>
      <c r="B131" t="s">
        <v>270</v>
      </c>
      <c r="D131" t="s">
        <v>250</v>
      </c>
      <c r="E131">
        <v>68.989999999999995</v>
      </c>
      <c r="F131" t="s">
        <v>193</v>
      </c>
      <c r="G131">
        <v>2</v>
      </c>
      <c r="H131">
        <v>1</v>
      </c>
      <c r="I131" t="s">
        <v>405</v>
      </c>
    </row>
    <row r="132" spans="1:9" x14ac:dyDescent="0.25">
      <c r="A132">
        <v>9</v>
      </c>
      <c r="B132" t="s">
        <v>272</v>
      </c>
      <c r="D132" t="s">
        <v>189</v>
      </c>
      <c r="E132">
        <v>146.99</v>
      </c>
      <c r="F132" t="s">
        <v>196</v>
      </c>
      <c r="G132">
        <v>2</v>
      </c>
      <c r="H132">
        <v>0</v>
      </c>
      <c r="I132" t="s">
        <v>466</v>
      </c>
    </row>
    <row r="133" spans="1:9" x14ac:dyDescent="0.25">
      <c r="A133">
        <v>9</v>
      </c>
      <c r="B133" t="s">
        <v>280</v>
      </c>
      <c r="D133" t="s">
        <v>189</v>
      </c>
      <c r="E133">
        <v>169.99</v>
      </c>
      <c r="F133" t="s">
        <v>196</v>
      </c>
      <c r="G133">
        <v>2</v>
      </c>
      <c r="H133">
        <v>0</v>
      </c>
      <c r="I133" t="s">
        <v>83</v>
      </c>
    </row>
    <row r="134" spans="1:9" x14ac:dyDescent="0.25">
      <c r="A134">
        <v>9</v>
      </c>
      <c r="B134" t="s">
        <v>233</v>
      </c>
      <c r="D134" t="s">
        <v>66</v>
      </c>
      <c r="E134">
        <v>234.99</v>
      </c>
      <c r="F134" t="s">
        <v>194</v>
      </c>
      <c r="G134">
        <v>4</v>
      </c>
      <c r="H134">
        <v>0</v>
      </c>
      <c r="I134" t="s">
        <v>87</v>
      </c>
    </row>
    <row r="135" spans="1:9" x14ac:dyDescent="0.25">
      <c r="A135">
        <v>9</v>
      </c>
      <c r="B135" t="s">
        <v>224</v>
      </c>
      <c r="D135" t="s">
        <v>190</v>
      </c>
      <c r="E135">
        <v>132.99</v>
      </c>
      <c r="F135" t="s">
        <v>194</v>
      </c>
      <c r="G135">
        <v>4</v>
      </c>
      <c r="H135">
        <v>0</v>
      </c>
      <c r="I135" t="s">
        <v>84</v>
      </c>
    </row>
    <row r="136" spans="1:9" x14ac:dyDescent="0.25">
      <c r="A136">
        <v>9</v>
      </c>
      <c r="B136" t="s">
        <v>270</v>
      </c>
      <c r="D136" t="s">
        <v>250</v>
      </c>
      <c r="E136">
        <v>95.99</v>
      </c>
      <c r="F136" t="s">
        <v>193</v>
      </c>
      <c r="G136">
        <v>2</v>
      </c>
      <c r="H136">
        <v>0</v>
      </c>
      <c r="I136" t="s">
        <v>467</v>
      </c>
    </row>
    <row r="137" spans="1:9" x14ac:dyDescent="0.25">
      <c r="A137">
        <v>9</v>
      </c>
      <c r="B137" t="s">
        <v>230</v>
      </c>
      <c r="D137" t="s">
        <v>189</v>
      </c>
      <c r="E137">
        <v>137.99</v>
      </c>
      <c r="F137" t="s">
        <v>194</v>
      </c>
      <c r="G137">
        <v>4</v>
      </c>
      <c r="H137">
        <v>1</v>
      </c>
      <c r="I137" t="s">
        <v>83</v>
      </c>
    </row>
    <row r="138" spans="1:9" x14ac:dyDescent="0.25">
      <c r="A138">
        <v>9</v>
      </c>
      <c r="B138" t="s">
        <v>276</v>
      </c>
      <c r="D138" t="s">
        <v>250</v>
      </c>
      <c r="E138">
        <v>86.99</v>
      </c>
      <c r="F138" t="s">
        <v>196</v>
      </c>
      <c r="G138">
        <v>2</v>
      </c>
      <c r="H138">
        <v>0</v>
      </c>
      <c r="I138" t="s">
        <v>83</v>
      </c>
    </row>
    <row r="139" spans="1:9" x14ac:dyDescent="0.25">
      <c r="A139">
        <v>10</v>
      </c>
      <c r="B139" t="s">
        <v>238</v>
      </c>
      <c r="D139" t="s">
        <v>66</v>
      </c>
      <c r="E139">
        <v>244.99</v>
      </c>
      <c r="F139" t="s">
        <v>193</v>
      </c>
      <c r="G139">
        <v>2</v>
      </c>
      <c r="H139">
        <v>1</v>
      </c>
      <c r="I139" t="s">
        <v>88</v>
      </c>
    </row>
    <row r="140" spans="1:9" x14ac:dyDescent="0.25">
      <c r="A140">
        <v>10</v>
      </c>
      <c r="B140" t="s">
        <v>286</v>
      </c>
      <c r="D140" t="s">
        <v>250</v>
      </c>
      <c r="E140">
        <v>76.989999999999995</v>
      </c>
      <c r="F140" t="s">
        <v>195</v>
      </c>
      <c r="G140">
        <v>2</v>
      </c>
      <c r="H140">
        <v>0</v>
      </c>
      <c r="I140" t="s">
        <v>88</v>
      </c>
    </row>
    <row r="141" spans="1:9" x14ac:dyDescent="0.25">
      <c r="A141">
        <v>10</v>
      </c>
      <c r="B141" t="s">
        <v>280</v>
      </c>
      <c r="D141" t="s">
        <v>189</v>
      </c>
      <c r="E141">
        <v>145.99</v>
      </c>
      <c r="F141" t="s">
        <v>196</v>
      </c>
      <c r="G141">
        <v>2</v>
      </c>
      <c r="H141">
        <v>0</v>
      </c>
      <c r="I141" t="s">
        <v>294</v>
      </c>
    </row>
    <row r="142" spans="1:9" x14ac:dyDescent="0.25">
      <c r="A142">
        <v>10</v>
      </c>
      <c r="B142" t="s">
        <v>205</v>
      </c>
      <c r="D142" t="s">
        <v>189</v>
      </c>
      <c r="E142">
        <v>167.99</v>
      </c>
      <c r="F142" t="s">
        <v>193</v>
      </c>
      <c r="G142">
        <v>2</v>
      </c>
      <c r="H142">
        <v>0</v>
      </c>
      <c r="I142" t="s">
        <v>375</v>
      </c>
    </row>
    <row r="143" spans="1:9" x14ac:dyDescent="0.25">
      <c r="A143">
        <v>10</v>
      </c>
      <c r="B143" t="s">
        <v>227</v>
      </c>
      <c r="D143" t="s">
        <v>189</v>
      </c>
      <c r="E143">
        <v>150.99</v>
      </c>
      <c r="F143" t="s">
        <v>194</v>
      </c>
      <c r="G143">
        <v>4</v>
      </c>
      <c r="H143">
        <v>0</v>
      </c>
      <c r="I143" t="s">
        <v>468</v>
      </c>
    </row>
    <row r="144" spans="1:9" x14ac:dyDescent="0.25">
      <c r="A144">
        <v>10</v>
      </c>
      <c r="B144" t="s">
        <v>240</v>
      </c>
      <c r="D144" t="s">
        <v>66</v>
      </c>
      <c r="E144">
        <v>238.99</v>
      </c>
      <c r="F144" t="s">
        <v>194</v>
      </c>
      <c r="G144">
        <v>4</v>
      </c>
      <c r="H144">
        <v>1</v>
      </c>
      <c r="I144" t="s">
        <v>334</v>
      </c>
    </row>
    <row r="145" spans="1:9" x14ac:dyDescent="0.25">
      <c r="A145">
        <v>10</v>
      </c>
      <c r="B145" t="s">
        <v>235</v>
      </c>
      <c r="D145" t="s">
        <v>66</v>
      </c>
      <c r="E145">
        <v>256.99</v>
      </c>
      <c r="F145" t="s">
        <v>194</v>
      </c>
      <c r="G145">
        <v>4</v>
      </c>
      <c r="H145">
        <v>1</v>
      </c>
      <c r="I145" t="s">
        <v>85</v>
      </c>
    </row>
    <row r="146" spans="1:9" x14ac:dyDescent="0.25">
      <c r="A146">
        <v>10</v>
      </c>
      <c r="B146" t="s">
        <v>284</v>
      </c>
      <c r="D146" t="s">
        <v>250</v>
      </c>
      <c r="E146">
        <v>64.989999999999995</v>
      </c>
      <c r="F146" t="s">
        <v>195</v>
      </c>
      <c r="G146">
        <v>2</v>
      </c>
      <c r="H146">
        <v>1</v>
      </c>
      <c r="I146" t="s">
        <v>336</v>
      </c>
    </row>
    <row r="147" spans="1:9" x14ac:dyDescent="0.25">
      <c r="A147">
        <v>10</v>
      </c>
      <c r="B147" t="s">
        <v>218</v>
      </c>
      <c r="D147" t="s">
        <v>190</v>
      </c>
      <c r="E147">
        <v>122.99</v>
      </c>
      <c r="F147" t="s">
        <v>193</v>
      </c>
      <c r="G147">
        <v>2</v>
      </c>
      <c r="H147">
        <v>1</v>
      </c>
      <c r="I147" t="s">
        <v>314</v>
      </c>
    </row>
    <row r="148" spans="1:9" x14ac:dyDescent="0.25">
      <c r="A148">
        <v>10</v>
      </c>
      <c r="B148" t="s">
        <v>280</v>
      </c>
      <c r="D148" t="s">
        <v>189</v>
      </c>
      <c r="E148">
        <v>142.99</v>
      </c>
      <c r="F148" t="s">
        <v>196</v>
      </c>
      <c r="G148">
        <v>2</v>
      </c>
      <c r="H148">
        <v>1</v>
      </c>
      <c r="I148" t="s">
        <v>336</v>
      </c>
    </row>
    <row r="149" spans="1:9" x14ac:dyDescent="0.25">
      <c r="A149">
        <v>10</v>
      </c>
      <c r="B149" t="s">
        <v>216</v>
      </c>
      <c r="D149" t="s">
        <v>190</v>
      </c>
      <c r="E149">
        <v>117.99</v>
      </c>
      <c r="F149" t="s">
        <v>194</v>
      </c>
      <c r="G149">
        <v>4</v>
      </c>
      <c r="H149">
        <v>0</v>
      </c>
      <c r="I149" t="s">
        <v>364</v>
      </c>
    </row>
    <row r="150" spans="1:9" x14ac:dyDescent="0.25">
      <c r="A150">
        <v>10</v>
      </c>
      <c r="B150" t="s">
        <v>227</v>
      </c>
      <c r="D150" t="s">
        <v>189</v>
      </c>
      <c r="E150">
        <v>129.99</v>
      </c>
      <c r="F150" t="s">
        <v>194</v>
      </c>
      <c r="G150">
        <v>4</v>
      </c>
      <c r="H150">
        <v>0</v>
      </c>
      <c r="I150" t="s">
        <v>342</v>
      </c>
    </row>
    <row r="151" spans="1:9" x14ac:dyDescent="0.25">
      <c r="A151">
        <v>11</v>
      </c>
      <c r="B151" t="s">
        <v>211</v>
      </c>
      <c r="D151" t="s">
        <v>189</v>
      </c>
      <c r="E151">
        <v>144.99</v>
      </c>
      <c r="F151" t="s">
        <v>195</v>
      </c>
      <c r="G151">
        <v>2</v>
      </c>
      <c r="H151">
        <v>1</v>
      </c>
      <c r="I151" t="s">
        <v>464</v>
      </c>
    </row>
    <row r="152" spans="1:9" x14ac:dyDescent="0.25">
      <c r="A152">
        <v>11</v>
      </c>
      <c r="B152" t="s">
        <v>233</v>
      </c>
      <c r="D152" t="s">
        <v>66</v>
      </c>
      <c r="E152">
        <v>248.99</v>
      </c>
      <c r="F152" t="s">
        <v>194</v>
      </c>
      <c r="G152">
        <v>4</v>
      </c>
      <c r="H152">
        <v>1</v>
      </c>
      <c r="I152" t="s">
        <v>288</v>
      </c>
    </row>
    <row r="153" spans="1:9" x14ac:dyDescent="0.25">
      <c r="A153">
        <v>11</v>
      </c>
      <c r="B153" t="s">
        <v>281</v>
      </c>
      <c r="D153" t="s">
        <v>66</v>
      </c>
      <c r="E153">
        <v>230.99</v>
      </c>
      <c r="F153" t="s">
        <v>196</v>
      </c>
      <c r="G153">
        <v>2</v>
      </c>
      <c r="H153">
        <v>1</v>
      </c>
      <c r="I153" t="s">
        <v>469</v>
      </c>
    </row>
    <row r="154" spans="1:9" x14ac:dyDescent="0.25">
      <c r="A154">
        <v>11</v>
      </c>
      <c r="B154" t="s">
        <v>256</v>
      </c>
      <c r="D154" t="s">
        <v>250</v>
      </c>
      <c r="E154">
        <v>84.99</v>
      </c>
      <c r="F154" t="s">
        <v>194</v>
      </c>
      <c r="G154">
        <v>4</v>
      </c>
      <c r="H154">
        <v>0</v>
      </c>
      <c r="I154" t="s">
        <v>87</v>
      </c>
    </row>
    <row r="155" spans="1:9" x14ac:dyDescent="0.25">
      <c r="A155">
        <v>11</v>
      </c>
      <c r="B155" t="s">
        <v>216</v>
      </c>
      <c r="D155" t="s">
        <v>190</v>
      </c>
      <c r="E155">
        <v>103.99</v>
      </c>
      <c r="F155" t="s">
        <v>194</v>
      </c>
      <c r="G155">
        <v>4</v>
      </c>
      <c r="H155">
        <v>1</v>
      </c>
      <c r="I155" t="s">
        <v>87</v>
      </c>
    </row>
    <row r="156" spans="1:9" x14ac:dyDescent="0.25">
      <c r="A156">
        <v>11</v>
      </c>
      <c r="B156" t="s">
        <v>285</v>
      </c>
      <c r="D156" t="s">
        <v>250</v>
      </c>
      <c r="E156">
        <v>61.99</v>
      </c>
      <c r="F156" t="s">
        <v>196</v>
      </c>
      <c r="G156">
        <v>2</v>
      </c>
      <c r="H156">
        <v>1</v>
      </c>
      <c r="I156" t="s">
        <v>83</v>
      </c>
    </row>
    <row r="157" spans="1:9" x14ac:dyDescent="0.25">
      <c r="A157">
        <v>11</v>
      </c>
      <c r="B157" t="s">
        <v>262</v>
      </c>
      <c r="D157" t="s">
        <v>66</v>
      </c>
      <c r="E157">
        <v>248.99</v>
      </c>
      <c r="F157" t="s">
        <v>196</v>
      </c>
      <c r="G157">
        <v>2</v>
      </c>
      <c r="H157">
        <v>1</v>
      </c>
      <c r="I157" t="s">
        <v>470</v>
      </c>
    </row>
    <row r="158" spans="1:9" x14ac:dyDescent="0.25">
      <c r="A158">
        <v>11</v>
      </c>
      <c r="B158" t="s">
        <v>273</v>
      </c>
      <c r="D158" t="s">
        <v>66</v>
      </c>
      <c r="E158">
        <v>239.99</v>
      </c>
      <c r="F158" t="s">
        <v>196</v>
      </c>
      <c r="G158">
        <v>2</v>
      </c>
      <c r="H158">
        <v>0</v>
      </c>
      <c r="I158" t="s">
        <v>86</v>
      </c>
    </row>
    <row r="159" spans="1:9" x14ac:dyDescent="0.25">
      <c r="A159">
        <v>11</v>
      </c>
      <c r="B159" t="s">
        <v>251</v>
      </c>
      <c r="D159" t="s">
        <v>189</v>
      </c>
      <c r="E159">
        <v>132.99</v>
      </c>
      <c r="F159" t="s">
        <v>196</v>
      </c>
      <c r="G159">
        <v>2</v>
      </c>
      <c r="H159">
        <v>0</v>
      </c>
      <c r="I159" t="s">
        <v>420</v>
      </c>
    </row>
    <row r="160" spans="1:9" x14ac:dyDescent="0.25">
      <c r="A160">
        <v>11</v>
      </c>
      <c r="B160" t="s">
        <v>280</v>
      </c>
      <c r="D160" t="s">
        <v>189</v>
      </c>
      <c r="E160">
        <v>144.99</v>
      </c>
      <c r="F160" t="s">
        <v>196</v>
      </c>
      <c r="G160">
        <v>2</v>
      </c>
      <c r="H160">
        <v>1</v>
      </c>
      <c r="I160" t="s">
        <v>86</v>
      </c>
    </row>
    <row r="161" spans="1:9" x14ac:dyDescent="0.25">
      <c r="A161">
        <v>11</v>
      </c>
      <c r="B161" t="s">
        <v>256</v>
      </c>
      <c r="D161" t="s">
        <v>250</v>
      </c>
      <c r="E161">
        <v>98.99</v>
      </c>
      <c r="F161" t="s">
        <v>194</v>
      </c>
      <c r="G161">
        <v>4</v>
      </c>
      <c r="H161">
        <v>0</v>
      </c>
      <c r="I161" t="s">
        <v>403</v>
      </c>
    </row>
    <row r="162" spans="1:9" x14ac:dyDescent="0.25">
      <c r="A162">
        <v>11</v>
      </c>
      <c r="B162" t="s">
        <v>204</v>
      </c>
      <c r="D162" t="s">
        <v>66</v>
      </c>
      <c r="E162">
        <v>263.99</v>
      </c>
      <c r="F162" t="s">
        <v>193</v>
      </c>
      <c r="G162">
        <v>2</v>
      </c>
      <c r="H162">
        <v>1</v>
      </c>
      <c r="I162" t="s">
        <v>309</v>
      </c>
    </row>
    <row r="163" spans="1:9" x14ac:dyDescent="0.25">
      <c r="A163">
        <v>11</v>
      </c>
      <c r="B163" t="s">
        <v>279</v>
      </c>
      <c r="D163" t="s">
        <v>250</v>
      </c>
      <c r="E163">
        <v>83.99</v>
      </c>
      <c r="F163" t="s">
        <v>195</v>
      </c>
      <c r="G163">
        <v>2</v>
      </c>
      <c r="H163">
        <v>0</v>
      </c>
      <c r="I163" t="s">
        <v>87</v>
      </c>
    </row>
    <row r="164" spans="1:9" x14ac:dyDescent="0.25">
      <c r="A164">
        <v>11</v>
      </c>
      <c r="B164" t="s">
        <v>241</v>
      </c>
      <c r="D164" t="s">
        <v>66</v>
      </c>
      <c r="E164">
        <v>241.99</v>
      </c>
      <c r="F164" t="s">
        <v>193</v>
      </c>
      <c r="G164">
        <v>2</v>
      </c>
      <c r="H164">
        <v>0</v>
      </c>
      <c r="I164" t="s">
        <v>301</v>
      </c>
    </row>
    <row r="165" spans="1:9" x14ac:dyDescent="0.25">
      <c r="A165">
        <v>11</v>
      </c>
      <c r="B165" t="s">
        <v>234</v>
      </c>
      <c r="D165" t="s">
        <v>66</v>
      </c>
      <c r="E165">
        <v>242.99</v>
      </c>
      <c r="F165" t="s">
        <v>195</v>
      </c>
      <c r="G165">
        <v>2</v>
      </c>
      <c r="H165">
        <v>0</v>
      </c>
      <c r="I165" t="s">
        <v>471</v>
      </c>
    </row>
    <row r="166" spans="1:9" x14ac:dyDescent="0.25">
      <c r="A166">
        <v>12</v>
      </c>
      <c r="B166" t="s">
        <v>219</v>
      </c>
      <c r="D166" t="s">
        <v>189</v>
      </c>
      <c r="E166">
        <v>144.99</v>
      </c>
      <c r="F166" t="s">
        <v>193</v>
      </c>
      <c r="G166">
        <v>2</v>
      </c>
      <c r="H166">
        <v>1</v>
      </c>
      <c r="I166" t="s">
        <v>385</v>
      </c>
    </row>
    <row r="167" spans="1:9" x14ac:dyDescent="0.25">
      <c r="A167">
        <v>12</v>
      </c>
      <c r="B167" t="s">
        <v>211</v>
      </c>
      <c r="D167" t="s">
        <v>189</v>
      </c>
      <c r="E167">
        <v>168.99</v>
      </c>
      <c r="F167" t="s">
        <v>195</v>
      </c>
      <c r="G167">
        <v>2</v>
      </c>
      <c r="H167">
        <v>1</v>
      </c>
      <c r="I167" t="s">
        <v>328</v>
      </c>
    </row>
    <row r="168" spans="1:9" x14ac:dyDescent="0.25">
      <c r="A168">
        <v>12</v>
      </c>
      <c r="B168" t="s">
        <v>263</v>
      </c>
      <c r="D168" t="s">
        <v>190</v>
      </c>
      <c r="E168">
        <v>110.99</v>
      </c>
      <c r="F168" t="s">
        <v>196</v>
      </c>
      <c r="G168">
        <v>2</v>
      </c>
      <c r="H168">
        <v>1</v>
      </c>
      <c r="I168" t="s">
        <v>354</v>
      </c>
    </row>
    <row r="169" spans="1:9" x14ac:dyDescent="0.25">
      <c r="A169">
        <v>12</v>
      </c>
      <c r="B169" t="s">
        <v>223</v>
      </c>
      <c r="D169" t="s">
        <v>189</v>
      </c>
      <c r="E169">
        <v>141.99</v>
      </c>
      <c r="F169" t="s">
        <v>195</v>
      </c>
      <c r="G169">
        <v>2</v>
      </c>
      <c r="H169">
        <v>0</v>
      </c>
      <c r="I169" t="s">
        <v>87</v>
      </c>
    </row>
    <row r="170" spans="1:9" x14ac:dyDescent="0.25">
      <c r="A170">
        <v>12</v>
      </c>
      <c r="B170" t="s">
        <v>247</v>
      </c>
      <c r="D170" t="s">
        <v>190</v>
      </c>
      <c r="E170">
        <v>131.99</v>
      </c>
      <c r="F170" t="s">
        <v>194</v>
      </c>
      <c r="G170">
        <v>4</v>
      </c>
      <c r="H170">
        <v>0</v>
      </c>
      <c r="I170" t="s">
        <v>306</v>
      </c>
    </row>
    <row r="171" spans="1:9" x14ac:dyDescent="0.25">
      <c r="A171">
        <v>12</v>
      </c>
      <c r="B171" t="s">
        <v>244</v>
      </c>
      <c r="D171" t="s">
        <v>190</v>
      </c>
      <c r="E171">
        <v>126.99</v>
      </c>
      <c r="F171" t="s">
        <v>195</v>
      </c>
      <c r="G171">
        <v>2</v>
      </c>
      <c r="H171">
        <v>1</v>
      </c>
      <c r="I171" t="s">
        <v>87</v>
      </c>
    </row>
    <row r="172" spans="1:9" x14ac:dyDescent="0.25">
      <c r="A172">
        <v>12</v>
      </c>
      <c r="B172" t="s">
        <v>251</v>
      </c>
      <c r="D172" t="s">
        <v>189</v>
      </c>
      <c r="E172">
        <v>166.99</v>
      </c>
      <c r="F172" t="s">
        <v>196</v>
      </c>
      <c r="G172">
        <v>2</v>
      </c>
      <c r="H172">
        <v>0</v>
      </c>
      <c r="I172" t="s">
        <v>322</v>
      </c>
    </row>
    <row r="173" spans="1:9" x14ac:dyDescent="0.25">
      <c r="A173">
        <v>12</v>
      </c>
      <c r="B173" t="s">
        <v>230</v>
      </c>
      <c r="D173" t="s">
        <v>189</v>
      </c>
      <c r="E173">
        <v>154.99</v>
      </c>
      <c r="F173" t="s">
        <v>194</v>
      </c>
      <c r="G173">
        <v>4</v>
      </c>
      <c r="H173">
        <v>1</v>
      </c>
      <c r="I173" t="s">
        <v>82</v>
      </c>
    </row>
    <row r="174" spans="1:9" x14ac:dyDescent="0.25">
      <c r="A174">
        <v>12</v>
      </c>
      <c r="B174" t="s">
        <v>238</v>
      </c>
      <c r="D174" t="s">
        <v>66</v>
      </c>
      <c r="E174">
        <v>231.99</v>
      </c>
      <c r="F174" t="s">
        <v>193</v>
      </c>
      <c r="G174">
        <v>2</v>
      </c>
      <c r="H174">
        <v>1</v>
      </c>
      <c r="I174" t="s">
        <v>87</v>
      </c>
    </row>
    <row r="175" spans="1:9" x14ac:dyDescent="0.25">
      <c r="A175">
        <v>12</v>
      </c>
      <c r="B175" t="s">
        <v>214</v>
      </c>
      <c r="D175" t="s">
        <v>66</v>
      </c>
      <c r="E175">
        <v>246.99</v>
      </c>
      <c r="F175" t="s">
        <v>195</v>
      </c>
      <c r="G175">
        <v>2</v>
      </c>
      <c r="H175">
        <v>1</v>
      </c>
      <c r="I175" t="s">
        <v>472</v>
      </c>
    </row>
    <row r="176" spans="1:9" x14ac:dyDescent="0.25">
      <c r="A176">
        <v>12</v>
      </c>
      <c r="B176" t="s">
        <v>286</v>
      </c>
      <c r="D176" t="s">
        <v>250</v>
      </c>
      <c r="E176">
        <v>66.989999999999995</v>
      </c>
      <c r="F176" t="s">
        <v>195</v>
      </c>
      <c r="G176">
        <v>2</v>
      </c>
      <c r="H176">
        <v>0</v>
      </c>
      <c r="I176" t="s">
        <v>297</v>
      </c>
    </row>
    <row r="177" spans="1:9" x14ac:dyDescent="0.25">
      <c r="A177">
        <v>12</v>
      </c>
      <c r="B177" t="s">
        <v>274</v>
      </c>
      <c r="D177" t="s">
        <v>250</v>
      </c>
      <c r="E177">
        <v>80.989999999999995</v>
      </c>
      <c r="F177" t="s">
        <v>193</v>
      </c>
      <c r="G177">
        <v>2</v>
      </c>
      <c r="H177">
        <v>1</v>
      </c>
      <c r="I177" t="s">
        <v>314</v>
      </c>
    </row>
    <row r="178" spans="1:9" x14ac:dyDescent="0.25">
      <c r="A178">
        <v>12</v>
      </c>
      <c r="B178" t="s">
        <v>260</v>
      </c>
      <c r="D178" t="s">
        <v>250</v>
      </c>
      <c r="E178">
        <v>64.989999999999995</v>
      </c>
      <c r="F178" t="s">
        <v>193</v>
      </c>
      <c r="G178">
        <v>2</v>
      </c>
      <c r="H178">
        <v>1</v>
      </c>
      <c r="I178" t="s">
        <v>473</v>
      </c>
    </row>
    <row r="179" spans="1:9" x14ac:dyDescent="0.25">
      <c r="A179">
        <v>12</v>
      </c>
      <c r="B179" t="s">
        <v>223</v>
      </c>
      <c r="D179" t="s">
        <v>189</v>
      </c>
      <c r="E179">
        <v>156.99</v>
      </c>
      <c r="F179" t="s">
        <v>195</v>
      </c>
      <c r="G179">
        <v>2</v>
      </c>
      <c r="H179">
        <v>0</v>
      </c>
      <c r="I179" t="s">
        <v>86</v>
      </c>
    </row>
    <row r="180" spans="1:9" x14ac:dyDescent="0.25">
      <c r="A180">
        <v>12</v>
      </c>
      <c r="B180" t="s">
        <v>211</v>
      </c>
      <c r="D180" t="s">
        <v>189</v>
      </c>
      <c r="E180">
        <v>133.99</v>
      </c>
      <c r="F180" t="s">
        <v>195</v>
      </c>
      <c r="G180">
        <v>2</v>
      </c>
      <c r="H180">
        <v>1</v>
      </c>
      <c r="I180" t="s">
        <v>287</v>
      </c>
    </row>
    <row r="181" spans="1:9" x14ac:dyDescent="0.25">
      <c r="A181">
        <v>12</v>
      </c>
      <c r="B181" t="s">
        <v>236</v>
      </c>
      <c r="D181" t="s">
        <v>66</v>
      </c>
      <c r="E181">
        <v>257.99</v>
      </c>
      <c r="F181" t="s">
        <v>193</v>
      </c>
      <c r="G181">
        <v>2</v>
      </c>
      <c r="H181">
        <v>0</v>
      </c>
      <c r="I181" t="s">
        <v>82</v>
      </c>
    </row>
    <row r="182" spans="1:9" x14ac:dyDescent="0.25">
      <c r="A182">
        <v>12</v>
      </c>
      <c r="B182" t="s">
        <v>258</v>
      </c>
      <c r="D182" t="s">
        <v>190</v>
      </c>
      <c r="E182">
        <v>103.99</v>
      </c>
      <c r="F182" t="s">
        <v>196</v>
      </c>
      <c r="G182">
        <v>2</v>
      </c>
      <c r="H182">
        <v>0</v>
      </c>
      <c r="I182" t="s">
        <v>343</v>
      </c>
    </row>
    <row r="183" spans="1:9" x14ac:dyDescent="0.25">
      <c r="A183">
        <v>12</v>
      </c>
      <c r="B183" t="s">
        <v>208</v>
      </c>
      <c r="D183" t="s">
        <v>190</v>
      </c>
      <c r="E183">
        <v>126.99</v>
      </c>
      <c r="F183" t="s">
        <v>194</v>
      </c>
      <c r="G183">
        <v>4</v>
      </c>
      <c r="H183">
        <v>0</v>
      </c>
      <c r="I183" t="s">
        <v>82</v>
      </c>
    </row>
    <row r="184" spans="1:9" x14ac:dyDescent="0.25">
      <c r="A184">
        <v>12</v>
      </c>
      <c r="B184" t="s">
        <v>216</v>
      </c>
      <c r="D184" t="s">
        <v>190</v>
      </c>
      <c r="E184">
        <v>120.99</v>
      </c>
      <c r="F184" t="s">
        <v>194</v>
      </c>
      <c r="G184">
        <v>4</v>
      </c>
      <c r="H184">
        <v>0</v>
      </c>
      <c r="I184" t="s">
        <v>371</v>
      </c>
    </row>
    <row r="185" spans="1:9" x14ac:dyDescent="0.25">
      <c r="A185">
        <v>13</v>
      </c>
      <c r="B185" t="s">
        <v>207</v>
      </c>
      <c r="D185" t="s">
        <v>190</v>
      </c>
      <c r="E185">
        <v>115.99</v>
      </c>
      <c r="F185" t="s">
        <v>193</v>
      </c>
      <c r="G185">
        <v>2</v>
      </c>
      <c r="H185">
        <v>1</v>
      </c>
      <c r="I185" t="s">
        <v>84</v>
      </c>
    </row>
    <row r="186" spans="1:9" x14ac:dyDescent="0.25">
      <c r="A186">
        <v>13</v>
      </c>
      <c r="B186" t="s">
        <v>283</v>
      </c>
      <c r="D186" t="s">
        <v>189</v>
      </c>
      <c r="E186">
        <v>145.99</v>
      </c>
      <c r="F186" t="s">
        <v>196</v>
      </c>
      <c r="G186">
        <v>2</v>
      </c>
      <c r="H186">
        <v>0</v>
      </c>
      <c r="I186" t="s">
        <v>84</v>
      </c>
    </row>
    <row r="187" spans="1:9" x14ac:dyDescent="0.25">
      <c r="A187">
        <v>13</v>
      </c>
      <c r="B187" t="s">
        <v>208</v>
      </c>
      <c r="D187" t="s">
        <v>190</v>
      </c>
      <c r="E187">
        <v>133.99</v>
      </c>
      <c r="F187" t="s">
        <v>194</v>
      </c>
      <c r="G187">
        <v>4</v>
      </c>
      <c r="H187">
        <v>1</v>
      </c>
      <c r="I187" t="s">
        <v>386</v>
      </c>
    </row>
    <row r="188" spans="1:9" x14ac:dyDescent="0.25">
      <c r="A188">
        <v>13</v>
      </c>
      <c r="B188" t="s">
        <v>262</v>
      </c>
      <c r="D188" t="s">
        <v>66</v>
      </c>
      <c r="E188">
        <v>242.99</v>
      </c>
      <c r="F188" t="s">
        <v>196</v>
      </c>
      <c r="G188">
        <v>2</v>
      </c>
      <c r="H188">
        <v>1</v>
      </c>
      <c r="I188" t="s">
        <v>395</v>
      </c>
    </row>
    <row r="189" spans="1:9" x14ac:dyDescent="0.25">
      <c r="A189">
        <v>13</v>
      </c>
      <c r="B189" t="s">
        <v>231</v>
      </c>
      <c r="D189" t="s">
        <v>190</v>
      </c>
      <c r="E189">
        <v>103.99</v>
      </c>
      <c r="F189" t="s">
        <v>193</v>
      </c>
      <c r="G189">
        <v>2</v>
      </c>
      <c r="H189">
        <v>1</v>
      </c>
      <c r="I189" t="s">
        <v>86</v>
      </c>
    </row>
    <row r="190" spans="1:9" x14ac:dyDescent="0.25">
      <c r="A190">
        <v>13</v>
      </c>
      <c r="B190" t="s">
        <v>259</v>
      </c>
      <c r="D190" t="s">
        <v>66</v>
      </c>
      <c r="E190">
        <v>257.99</v>
      </c>
      <c r="F190" t="s">
        <v>196</v>
      </c>
      <c r="G190">
        <v>2</v>
      </c>
      <c r="H190">
        <v>0</v>
      </c>
      <c r="I190" t="s">
        <v>315</v>
      </c>
    </row>
    <row r="191" spans="1:9" x14ac:dyDescent="0.25">
      <c r="A191">
        <v>13</v>
      </c>
      <c r="B191" t="s">
        <v>207</v>
      </c>
      <c r="D191" t="s">
        <v>190</v>
      </c>
      <c r="E191">
        <v>136.99</v>
      </c>
      <c r="F191" t="s">
        <v>193</v>
      </c>
      <c r="G191">
        <v>2</v>
      </c>
      <c r="H191">
        <v>1</v>
      </c>
      <c r="I191" t="s">
        <v>297</v>
      </c>
    </row>
    <row r="192" spans="1:9" x14ac:dyDescent="0.25">
      <c r="A192">
        <v>13</v>
      </c>
      <c r="B192" t="s">
        <v>208</v>
      </c>
      <c r="D192" t="s">
        <v>190</v>
      </c>
      <c r="E192">
        <v>137.99</v>
      </c>
      <c r="F192" t="s">
        <v>194</v>
      </c>
      <c r="G192">
        <v>4</v>
      </c>
      <c r="H192">
        <v>0</v>
      </c>
      <c r="I192" t="s">
        <v>84</v>
      </c>
    </row>
    <row r="193" spans="1:9" x14ac:dyDescent="0.25">
      <c r="A193">
        <v>13</v>
      </c>
      <c r="B193" t="s">
        <v>265</v>
      </c>
      <c r="D193" t="s">
        <v>190</v>
      </c>
      <c r="E193">
        <v>128.99</v>
      </c>
      <c r="F193" t="s">
        <v>196</v>
      </c>
      <c r="G193">
        <v>2</v>
      </c>
      <c r="H193">
        <v>1</v>
      </c>
      <c r="I193" t="s">
        <v>418</v>
      </c>
    </row>
    <row r="194" spans="1:9" x14ac:dyDescent="0.25">
      <c r="A194">
        <v>13</v>
      </c>
      <c r="B194" t="s">
        <v>276</v>
      </c>
      <c r="D194" t="s">
        <v>250</v>
      </c>
      <c r="E194">
        <v>65.989999999999995</v>
      </c>
      <c r="F194" t="s">
        <v>196</v>
      </c>
      <c r="G194">
        <v>2</v>
      </c>
      <c r="H194">
        <v>1</v>
      </c>
      <c r="I194" t="s">
        <v>388</v>
      </c>
    </row>
    <row r="195" spans="1:9" x14ac:dyDescent="0.25">
      <c r="A195">
        <v>13</v>
      </c>
      <c r="B195" t="s">
        <v>278</v>
      </c>
      <c r="D195" t="s">
        <v>189</v>
      </c>
      <c r="E195">
        <v>163.99</v>
      </c>
      <c r="F195" t="s">
        <v>196</v>
      </c>
      <c r="G195">
        <v>2</v>
      </c>
      <c r="H195">
        <v>1</v>
      </c>
      <c r="I195" t="s">
        <v>388</v>
      </c>
    </row>
    <row r="196" spans="1:9" x14ac:dyDescent="0.25">
      <c r="A196">
        <v>13</v>
      </c>
      <c r="B196" t="s">
        <v>235</v>
      </c>
      <c r="D196" t="s">
        <v>66</v>
      </c>
      <c r="E196">
        <v>262.99</v>
      </c>
      <c r="F196" t="s">
        <v>194</v>
      </c>
      <c r="G196">
        <v>4</v>
      </c>
      <c r="H196">
        <v>0</v>
      </c>
      <c r="I196" t="s">
        <v>322</v>
      </c>
    </row>
    <row r="197" spans="1:9" x14ac:dyDescent="0.25">
      <c r="A197">
        <v>13</v>
      </c>
      <c r="B197" t="s">
        <v>226</v>
      </c>
      <c r="D197" t="s">
        <v>189</v>
      </c>
      <c r="E197">
        <v>142.99</v>
      </c>
      <c r="F197" t="s">
        <v>195</v>
      </c>
      <c r="G197">
        <v>2</v>
      </c>
      <c r="H197">
        <v>1</v>
      </c>
      <c r="I197" t="s">
        <v>88</v>
      </c>
    </row>
    <row r="198" spans="1:9" x14ac:dyDescent="0.25">
      <c r="A198">
        <v>13</v>
      </c>
      <c r="B198" t="s">
        <v>238</v>
      </c>
      <c r="D198" t="s">
        <v>66</v>
      </c>
      <c r="E198">
        <v>256.99</v>
      </c>
      <c r="F198" t="s">
        <v>193</v>
      </c>
      <c r="G198">
        <v>2</v>
      </c>
      <c r="H198">
        <v>1</v>
      </c>
      <c r="I198" t="s">
        <v>332</v>
      </c>
    </row>
    <row r="199" spans="1:9" x14ac:dyDescent="0.25">
      <c r="A199">
        <v>13</v>
      </c>
      <c r="B199" t="s">
        <v>237</v>
      </c>
      <c r="D199" t="s">
        <v>66</v>
      </c>
      <c r="E199">
        <v>254.99</v>
      </c>
      <c r="F199" t="s">
        <v>193</v>
      </c>
      <c r="G199">
        <v>2</v>
      </c>
      <c r="H199">
        <v>1</v>
      </c>
      <c r="I199" t="s">
        <v>415</v>
      </c>
    </row>
    <row r="200" spans="1:9" x14ac:dyDescent="0.25">
      <c r="A200">
        <v>13</v>
      </c>
      <c r="B200" t="s">
        <v>244</v>
      </c>
      <c r="D200" t="s">
        <v>190</v>
      </c>
      <c r="E200">
        <v>103.99</v>
      </c>
      <c r="F200" t="s">
        <v>195</v>
      </c>
      <c r="G200">
        <v>2</v>
      </c>
      <c r="H200">
        <v>1</v>
      </c>
      <c r="I200" t="s">
        <v>84</v>
      </c>
    </row>
    <row r="201" spans="1:9" x14ac:dyDescent="0.25">
      <c r="A201">
        <v>13</v>
      </c>
      <c r="B201" t="s">
        <v>204</v>
      </c>
      <c r="D201" t="s">
        <v>66</v>
      </c>
      <c r="E201">
        <v>243.99</v>
      </c>
      <c r="F201" t="s">
        <v>193</v>
      </c>
      <c r="G201">
        <v>2</v>
      </c>
      <c r="H201">
        <v>1</v>
      </c>
      <c r="I201" t="s">
        <v>85</v>
      </c>
    </row>
    <row r="202" spans="1:9" x14ac:dyDescent="0.25">
      <c r="A202">
        <v>14</v>
      </c>
      <c r="B202" t="s">
        <v>268</v>
      </c>
      <c r="D202" t="s">
        <v>250</v>
      </c>
      <c r="E202">
        <v>62.99</v>
      </c>
      <c r="F202" t="s">
        <v>193</v>
      </c>
      <c r="G202">
        <v>2</v>
      </c>
      <c r="H202">
        <v>0</v>
      </c>
      <c r="I202" t="s">
        <v>317</v>
      </c>
    </row>
    <row r="203" spans="1:9" x14ac:dyDescent="0.25">
      <c r="A203">
        <v>14</v>
      </c>
      <c r="B203" t="s">
        <v>224</v>
      </c>
      <c r="D203" t="s">
        <v>190</v>
      </c>
      <c r="E203">
        <v>107.99</v>
      </c>
      <c r="F203" t="s">
        <v>194</v>
      </c>
      <c r="G203">
        <v>4</v>
      </c>
      <c r="H203">
        <v>1</v>
      </c>
      <c r="I203" t="s">
        <v>474</v>
      </c>
    </row>
    <row r="204" spans="1:9" x14ac:dyDescent="0.25">
      <c r="A204">
        <v>14</v>
      </c>
      <c r="B204" t="s">
        <v>245</v>
      </c>
      <c r="D204" t="s">
        <v>189</v>
      </c>
      <c r="E204">
        <v>138.99</v>
      </c>
      <c r="F204" t="s">
        <v>195</v>
      </c>
      <c r="G204">
        <v>2</v>
      </c>
      <c r="H204">
        <v>0</v>
      </c>
      <c r="I204" t="s">
        <v>83</v>
      </c>
    </row>
    <row r="205" spans="1:9" x14ac:dyDescent="0.25">
      <c r="A205">
        <v>14</v>
      </c>
      <c r="B205" t="s">
        <v>265</v>
      </c>
      <c r="D205" t="s">
        <v>190</v>
      </c>
      <c r="E205">
        <v>126.99</v>
      </c>
      <c r="F205" t="s">
        <v>196</v>
      </c>
      <c r="G205">
        <v>2</v>
      </c>
      <c r="H205">
        <v>0</v>
      </c>
      <c r="I205" t="s">
        <v>475</v>
      </c>
    </row>
    <row r="206" spans="1:9" x14ac:dyDescent="0.25">
      <c r="A206">
        <v>14</v>
      </c>
      <c r="B206" t="s">
        <v>282</v>
      </c>
      <c r="D206" t="s">
        <v>250</v>
      </c>
      <c r="E206">
        <v>71.989999999999995</v>
      </c>
      <c r="F206" t="s">
        <v>196</v>
      </c>
      <c r="G206">
        <v>2</v>
      </c>
      <c r="H206">
        <v>1</v>
      </c>
      <c r="I206" t="s">
        <v>338</v>
      </c>
    </row>
    <row r="207" spans="1:9" x14ac:dyDescent="0.25">
      <c r="A207">
        <v>14</v>
      </c>
      <c r="B207" t="s">
        <v>237</v>
      </c>
      <c r="D207" t="s">
        <v>66</v>
      </c>
      <c r="E207">
        <v>249.99</v>
      </c>
      <c r="F207" t="s">
        <v>193</v>
      </c>
      <c r="G207">
        <v>2</v>
      </c>
      <c r="H207">
        <v>0</v>
      </c>
      <c r="I207" t="s">
        <v>83</v>
      </c>
    </row>
    <row r="208" spans="1:9" x14ac:dyDescent="0.25">
      <c r="A208">
        <v>14</v>
      </c>
      <c r="B208" t="s">
        <v>235</v>
      </c>
      <c r="D208" t="s">
        <v>66</v>
      </c>
      <c r="E208">
        <v>257.99</v>
      </c>
      <c r="F208" t="s">
        <v>194</v>
      </c>
      <c r="G208">
        <v>4</v>
      </c>
      <c r="H208">
        <v>1</v>
      </c>
      <c r="I208" t="s">
        <v>84</v>
      </c>
    </row>
    <row r="209" spans="1:9" x14ac:dyDescent="0.25">
      <c r="A209">
        <v>14</v>
      </c>
      <c r="B209" t="s">
        <v>283</v>
      </c>
      <c r="D209" t="s">
        <v>189</v>
      </c>
      <c r="E209">
        <v>151.99</v>
      </c>
      <c r="F209" t="s">
        <v>196</v>
      </c>
      <c r="G209">
        <v>2</v>
      </c>
      <c r="H209">
        <v>0</v>
      </c>
      <c r="I209" t="s">
        <v>302</v>
      </c>
    </row>
    <row r="210" spans="1:9" x14ac:dyDescent="0.25">
      <c r="A210">
        <v>14</v>
      </c>
      <c r="B210" t="s">
        <v>212</v>
      </c>
      <c r="D210" t="s">
        <v>189</v>
      </c>
      <c r="E210">
        <v>149.99</v>
      </c>
      <c r="F210" t="s">
        <v>193</v>
      </c>
      <c r="G210">
        <v>2</v>
      </c>
      <c r="H210">
        <v>0</v>
      </c>
      <c r="I210" t="s">
        <v>336</v>
      </c>
    </row>
    <row r="211" spans="1:9" x14ac:dyDescent="0.25">
      <c r="A211">
        <v>14</v>
      </c>
      <c r="B211" t="s">
        <v>238</v>
      </c>
      <c r="D211" t="s">
        <v>66</v>
      </c>
      <c r="E211">
        <v>258.99</v>
      </c>
      <c r="F211" t="s">
        <v>193</v>
      </c>
      <c r="G211">
        <v>2</v>
      </c>
      <c r="H211">
        <v>0</v>
      </c>
      <c r="I211" t="s">
        <v>88</v>
      </c>
    </row>
    <row r="212" spans="1:9" x14ac:dyDescent="0.25">
      <c r="A212">
        <v>14</v>
      </c>
      <c r="B212" t="s">
        <v>205</v>
      </c>
      <c r="D212" t="s">
        <v>189</v>
      </c>
      <c r="E212">
        <v>129.99</v>
      </c>
      <c r="F212" t="s">
        <v>193</v>
      </c>
      <c r="G212">
        <v>2</v>
      </c>
      <c r="H212">
        <v>1</v>
      </c>
      <c r="I212" t="s">
        <v>87</v>
      </c>
    </row>
    <row r="213" spans="1:9" x14ac:dyDescent="0.25">
      <c r="A213">
        <v>14</v>
      </c>
      <c r="B213" t="s">
        <v>217</v>
      </c>
      <c r="D213" t="s">
        <v>190</v>
      </c>
      <c r="E213">
        <v>109.99</v>
      </c>
      <c r="F213" t="s">
        <v>194</v>
      </c>
      <c r="G213">
        <v>4</v>
      </c>
      <c r="H213">
        <v>0</v>
      </c>
      <c r="I213" t="s">
        <v>403</v>
      </c>
    </row>
    <row r="214" spans="1:9" x14ac:dyDescent="0.25">
      <c r="A214">
        <v>14</v>
      </c>
      <c r="B214" t="s">
        <v>212</v>
      </c>
      <c r="D214" t="s">
        <v>189</v>
      </c>
      <c r="E214">
        <v>161.99</v>
      </c>
      <c r="F214" t="s">
        <v>193</v>
      </c>
      <c r="G214">
        <v>2</v>
      </c>
      <c r="H214">
        <v>1</v>
      </c>
      <c r="I214" t="s">
        <v>344</v>
      </c>
    </row>
    <row r="215" spans="1:9" x14ac:dyDescent="0.25">
      <c r="A215">
        <v>14</v>
      </c>
      <c r="B215" t="s">
        <v>237</v>
      </c>
      <c r="D215" t="s">
        <v>66</v>
      </c>
      <c r="E215">
        <v>235.99</v>
      </c>
      <c r="F215" t="s">
        <v>193</v>
      </c>
      <c r="G215">
        <v>2</v>
      </c>
      <c r="H215">
        <v>1</v>
      </c>
      <c r="I215" t="s">
        <v>381</v>
      </c>
    </row>
    <row r="216" spans="1:9" x14ac:dyDescent="0.25">
      <c r="A216">
        <v>14</v>
      </c>
      <c r="B216" t="s">
        <v>236</v>
      </c>
      <c r="D216" t="s">
        <v>66</v>
      </c>
      <c r="E216">
        <v>260.99</v>
      </c>
      <c r="F216" t="s">
        <v>193</v>
      </c>
      <c r="G216">
        <v>2</v>
      </c>
      <c r="H216">
        <v>0</v>
      </c>
      <c r="I216" t="s">
        <v>334</v>
      </c>
    </row>
    <row r="217" spans="1:9" x14ac:dyDescent="0.25">
      <c r="A217">
        <v>14</v>
      </c>
      <c r="B217" t="s">
        <v>227</v>
      </c>
      <c r="D217" t="s">
        <v>189</v>
      </c>
      <c r="E217">
        <v>151.99</v>
      </c>
      <c r="F217" t="s">
        <v>194</v>
      </c>
      <c r="G217">
        <v>4</v>
      </c>
      <c r="H217">
        <v>1</v>
      </c>
      <c r="I217" t="s">
        <v>85</v>
      </c>
    </row>
    <row r="218" spans="1:9" x14ac:dyDescent="0.25">
      <c r="A218">
        <v>14</v>
      </c>
      <c r="B218" t="s">
        <v>219</v>
      </c>
      <c r="D218" t="s">
        <v>189</v>
      </c>
      <c r="E218">
        <v>148.99</v>
      </c>
      <c r="F218" t="s">
        <v>193</v>
      </c>
      <c r="G218">
        <v>2</v>
      </c>
      <c r="H218">
        <v>0</v>
      </c>
      <c r="I218" t="s">
        <v>476</v>
      </c>
    </row>
    <row r="219" spans="1:9" x14ac:dyDescent="0.25">
      <c r="A219">
        <v>14</v>
      </c>
      <c r="B219" t="s">
        <v>246</v>
      </c>
      <c r="D219" t="s">
        <v>190</v>
      </c>
      <c r="E219">
        <v>118.99</v>
      </c>
      <c r="F219" t="s">
        <v>193</v>
      </c>
      <c r="G219">
        <v>2</v>
      </c>
      <c r="H219">
        <v>1</v>
      </c>
      <c r="I219" t="s">
        <v>368</v>
      </c>
    </row>
    <row r="220" spans="1:9" x14ac:dyDescent="0.25">
      <c r="A220">
        <v>15</v>
      </c>
      <c r="B220" t="s">
        <v>209</v>
      </c>
      <c r="D220" t="s">
        <v>190</v>
      </c>
      <c r="E220">
        <v>105.99</v>
      </c>
      <c r="F220" t="s">
        <v>193</v>
      </c>
      <c r="G220">
        <v>2</v>
      </c>
      <c r="H220">
        <v>0</v>
      </c>
      <c r="I220" t="s">
        <v>345</v>
      </c>
    </row>
    <row r="221" spans="1:9" x14ac:dyDescent="0.25">
      <c r="A221">
        <v>15</v>
      </c>
      <c r="B221" t="s">
        <v>285</v>
      </c>
      <c r="D221" t="s">
        <v>250</v>
      </c>
      <c r="E221">
        <v>80.989999999999995</v>
      </c>
      <c r="F221" t="s">
        <v>196</v>
      </c>
      <c r="G221">
        <v>2</v>
      </c>
      <c r="H221">
        <v>0</v>
      </c>
      <c r="I221" t="s">
        <v>334</v>
      </c>
    </row>
    <row r="222" spans="1:9" x14ac:dyDescent="0.25">
      <c r="A222">
        <v>15</v>
      </c>
      <c r="B222" t="s">
        <v>207</v>
      </c>
      <c r="D222" t="s">
        <v>190</v>
      </c>
      <c r="E222">
        <v>130.99</v>
      </c>
      <c r="F222" t="s">
        <v>193</v>
      </c>
      <c r="G222">
        <v>2</v>
      </c>
      <c r="H222">
        <v>0</v>
      </c>
      <c r="I222" t="s">
        <v>476</v>
      </c>
    </row>
    <row r="223" spans="1:9" x14ac:dyDescent="0.25">
      <c r="A223">
        <v>15</v>
      </c>
      <c r="B223" t="s">
        <v>204</v>
      </c>
      <c r="D223" t="s">
        <v>66</v>
      </c>
      <c r="E223">
        <v>259.99</v>
      </c>
      <c r="F223" t="s">
        <v>193</v>
      </c>
      <c r="G223">
        <v>2</v>
      </c>
      <c r="H223">
        <v>0</v>
      </c>
      <c r="I223" t="s">
        <v>310</v>
      </c>
    </row>
    <row r="224" spans="1:9" x14ac:dyDescent="0.25">
      <c r="A224">
        <v>15</v>
      </c>
      <c r="B224" t="s">
        <v>227</v>
      </c>
      <c r="D224" t="s">
        <v>189</v>
      </c>
      <c r="E224">
        <v>135.99</v>
      </c>
      <c r="F224" t="s">
        <v>194</v>
      </c>
      <c r="G224">
        <v>4</v>
      </c>
      <c r="H224">
        <v>0</v>
      </c>
      <c r="I224" t="s">
        <v>87</v>
      </c>
    </row>
    <row r="225" spans="1:9" x14ac:dyDescent="0.25">
      <c r="A225">
        <v>15</v>
      </c>
      <c r="B225" t="s">
        <v>215</v>
      </c>
      <c r="D225" t="s">
        <v>189</v>
      </c>
      <c r="E225">
        <v>138.99</v>
      </c>
      <c r="F225" t="s">
        <v>193</v>
      </c>
      <c r="G225">
        <v>2</v>
      </c>
      <c r="H225">
        <v>0</v>
      </c>
      <c r="I225" t="s">
        <v>83</v>
      </c>
    </row>
    <row r="226" spans="1:9" x14ac:dyDescent="0.25">
      <c r="A226">
        <v>15</v>
      </c>
      <c r="B226" t="s">
        <v>214</v>
      </c>
      <c r="D226" t="s">
        <v>66</v>
      </c>
      <c r="E226">
        <v>264.99</v>
      </c>
      <c r="F226" t="s">
        <v>195</v>
      </c>
      <c r="G226">
        <v>2</v>
      </c>
      <c r="H226">
        <v>1</v>
      </c>
      <c r="I226" t="s">
        <v>391</v>
      </c>
    </row>
    <row r="227" spans="1:9" x14ac:dyDescent="0.25">
      <c r="A227">
        <v>15</v>
      </c>
      <c r="B227" t="s">
        <v>229</v>
      </c>
      <c r="D227" t="s">
        <v>66</v>
      </c>
      <c r="E227">
        <v>260.99</v>
      </c>
      <c r="F227" t="s">
        <v>194</v>
      </c>
      <c r="G227">
        <v>4</v>
      </c>
      <c r="H227">
        <v>0</v>
      </c>
      <c r="I227" t="s">
        <v>307</v>
      </c>
    </row>
    <row r="228" spans="1:9" x14ac:dyDescent="0.25">
      <c r="A228">
        <v>15</v>
      </c>
      <c r="B228" t="s">
        <v>228</v>
      </c>
      <c r="D228" t="s">
        <v>189</v>
      </c>
      <c r="E228">
        <v>139.99</v>
      </c>
      <c r="F228" t="s">
        <v>194</v>
      </c>
      <c r="G228">
        <v>4</v>
      </c>
      <c r="H228">
        <v>0</v>
      </c>
      <c r="I228" t="s">
        <v>346</v>
      </c>
    </row>
    <row r="229" spans="1:9" x14ac:dyDescent="0.25">
      <c r="A229">
        <v>15</v>
      </c>
      <c r="B229" t="s">
        <v>275</v>
      </c>
      <c r="D229" t="s">
        <v>250</v>
      </c>
      <c r="E229">
        <v>65.989999999999995</v>
      </c>
      <c r="F229" t="s">
        <v>194</v>
      </c>
      <c r="G229">
        <v>4</v>
      </c>
      <c r="H229">
        <v>1</v>
      </c>
      <c r="I229" t="s">
        <v>310</v>
      </c>
    </row>
    <row r="230" spans="1:9" x14ac:dyDescent="0.25">
      <c r="A230">
        <v>15</v>
      </c>
      <c r="B230" t="s">
        <v>203</v>
      </c>
      <c r="D230" t="s">
        <v>190</v>
      </c>
      <c r="E230">
        <v>124.99</v>
      </c>
      <c r="F230" t="s">
        <v>195</v>
      </c>
      <c r="G230">
        <v>2</v>
      </c>
      <c r="H230">
        <v>0</v>
      </c>
      <c r="I230" t="s">
        <v>399</v>
      </c>
    </row>
    <row r="231" spans="1:9" x14ac:dyDescent="0.25">
      <c r="A231">
        <v>15</v>
      </c>
      <c r="B231" t="s">
        <v>218</v>
      </c>
      <c r="D231" t="s">
        <v>190</v>
      </c>
      <c r="E231">
        <v>131.99</v>
      </c>
      <c r="F231" t="s">
        <v>193</v>
      </c>
      <c r="G231">
        <v>2</v>
      </c>
      <c r="H231">
        <v>0</v>
      </c>
      <c r="I231" t="s">
        <v>468</v>
      </c>
    </row>
    <row r="232" spans="1:9" x14ac:dyDescent="0.25">
      <c r="A232">
        <v>15</v>
      </c>
      <c r="B232" t="s">
        <v>243</v>
      </c>
      <c r="D232" t="s">
        <v>66</v>
      </c>
      <c r="E232">
        <v>253.99</v>
      </c>
      <c r="F232" t="s">
        <v>195</v>
      </c>
      <c r="G232">
        <v>2</v>
      </c>
      <c r="H232">
        <v>0</v>
      </c>
      <c r="I232" t="s">
        <v>349</v>
      </c>
    </row>
    <row r="233" spans="1:9" x14ac:dyDescent="0.25">
      <c r="A233">
        <v>15</v>
      </c>
      <c r="B233" t="s">
        <v>209</v>
      </c>
      <c r="D233" t="s">
        <v>190</v>
      </c>
      <c r="E233">
        <v>124.99</v>
      </c>
      <c r="F233" t="s">
        <v>193</v>
      </c>
      <c r="G233">
        <v>2</v>
      </c>
      <c r="H233">
        <v>1</v>
      </c>
      <c r="I233" t="s">
        <v>84</v>
      </c>
    </row>
    <row r="234" spans="1:9" x14ac:dyDescent="0.25">
      <c r="A234">
        <v>15</v>
      </c>
      <c r="B234" t="s">
        <v>262</v>
      </c>
      <c r="D234" t="s">
        <v>66</v>
      </c>
      <c r="E234">
        <v>263.99</v>
      </c>
      <c r="F234" t="s">
        <v>196</v>
      </c>
      <c r="G234">
        <v>2</v>
      </c>
      <c r="H234">
        <v>0</v>
      </c>
      <c r="I234" t="s">
        <v>356</v>
      </c>
    </row>
    <row r="235" spans="1:9" x14ac:dyDescent="0.25">
      <c r="A235">
        <v>15</v>
      </c>
      <c r="B235" t="s">
        <v>230</v>
      </c>
      <c r="D235" t="s">
        <v>189</v>
      </c>
      <c r="E235">
        <v>154.99</v>
      </c>
      <c r="F235" t="s">
        <v>194</v>
      </c>
      <c r="G235">
        <v>4</v>
      </c>
      <c r="H235">
        <v>1</v>
      </c>
      <c r="I235" t="s">
        <v>83</v>
      </c>
    </row>
    <row r="236" spans="1:9" x14ac:dyDescent="0.25">
      <c r="A236">
        <v>15</v>
      </c>
      <c r="B236" t="s">
        <v>237</v>
      </c>
      <c r="D236" t="s">
        <v>66</v>
      </c>
      <c r="E236">
        <v>262.99</v>
      </c>
      <c r="F236" t="s">
        <v>193</v>
      </c>
      <c r="G236">
        <v>2</v>
      </c>
      <c r="H236">
        <v>0</v>
      </c>
      <c r="I236" t="s">
        <v>406</v>
      </c>
    </row>
    <row r="237" spans="1:9" x14ac:dyDescent="0.25">
      <c r="A237">
        <v>16</v>
      </c>
      <c r="B237" t="s">
        <v>235</v>
      </c>
      <c r="D237" t="s">
        <v>66</v>
      </c>
      <c r="E237">
        <v>255.99</v>
      </c>
      <c r="F237" t="s">
        <v>194</v>
      </c>
      <c r="G237">
        <v>4</v>
      </c>
      <c r="H237">
        <v>0</v>
      </c>
      <c r="I237" t="s">
        <v>85</v>
      </c>
    </row>
    <row r="238" spans="1:9" x14ac:dyDescent="0.25">
      <c r="A238">
        <v>16</v>
      </c>
      <c r="B238" t="s">
        <v>231</v>
      </c>
      <c r="D238" t="s">
        <v>190</v>
      </c>
      <c r="E238">
        <v>124.99</v>
      </c>
      <c r="F238" t="s">
        <v>193</v>
      </c>
      <c r="G238">
        <v>2</v>
      </c>
      <c r="H238">
        <v>1</v>
      </c>
      <c r="I238" t="s">
        <v>85</v>
      </c>
    </row>
    <row r="239" spans="1:9" x14ac:dyDescent="0.25">
      <c r="A239">
        <v>16</v>
      </c>
      <c r="B239" t="s">
        <v>269</v>
      </c>
      <c r="D239" t="s">
        <v>250</v>
      </c>
      <c r="E239">
        <v>68.989999999999995</v>
      </c>
      <c r="F239" t="s">
        <v>196</v>
      </c>
      <c r="G239">
        <v>2</v>
      </c>
      <c r="H239">
        <v>1</v>
      </c>
      <c r="I239" t="s">
        <v>312</v>
      </c>
    </row>
    <row r="240" spans="1:9" x14ac:dyDescent="0.25">
      <c r="A240">
        <v>16</v>
      </c>
      <c r="B240" t="s">
        <v>225</v>
      </c>
      <c r="D240" t="s">
        <v>190</v>
      </c>
      <c r="E240">
        <v>126.99</v>
      </c>
      <c r="F240" t="s">
        <v>195</v>
      </c>
      <c r="G240">
        <v>2</v>
      </c>
      <c r="H240">
        <v>1</v>
      </c>
      <c r="I240" t="s">
        <v>87</v>
      </c>
    </row>
    <row r="241" spans="1:9" x14ac:dyDescent="0.25">
      <c r="A241">
        <v>16</v>
      </c>
      <c r="B241" t="s">
        <v>258</v>
      </c>
      <c r="D241" t="s">
        <v>190</v>
      </c>
      <c r="E241">
        <v>108.99</v>
      </c>
      <c r="F241" t="s">
        <v>196</v>
      </c>
      <c r="G241">
        <v>2</v>
      </c>
      <c r="H241">
        <v>1</v>
      </c>
      <c r="I241" t="s">
        <v>291</v>
      </c>
    </row>
    <row r="242" spans="1:9" x14ac:dyDescent="0.25">
      <c r="A242">
        <v>16</v>
      </c>
      <c r="B242" t="s">
        <v>207</v>
      </c>
      <c r="D242" t="s">
        <v>190</v>
      </c>
      <c r="E242">
        <v>136.99</v>
      </c>
      <c r="F242" t="s">
        <v>193</v>
      </c>
      <c r="G242">
        <v>2</v>
      </c>
      <c r="H242">
        <v>0</v>
      </c>
      <c r="I242" t="s">
        <v>82</v>
      </c>
    </row>
    <row r="243" spans="1:9" x14ac:dyDescent="0.25">
      <c r="A243">
        <v>16</v>
      </c>
      <c r="B243" t="s">
        <v>204</v>
      </c>
      <c r="D243" t="s">
        <v>66</v>
      </c>
      <c r="E243">
        <v>260.99</v>
      </c>
      <c r="F243" t="s">
        <v>193</v>
      </c>
      <c r="G243">
        <v>2</v>
      </c>
      <c r="H243">
        <v>0</v>
      </c>
      <c r="I243" t="s">
        <v>328</v>
      </c>
    </row>
    <row r="244" spans="1:9" x14ac:dyDescent="0.25">
      <c r="A244">
        <v>16</v>
      </c>
      <c r="B244" t="s">
        <v>244</v>
      </c>
      <c r="D244" t="s">
        <v>190</v>
      </c>
      <c r="E244">
        <v>133.99</v>
      </c>
      <c r="F244" t="s">
        <v>195</v>
      </c>
      <c r="G244">
        <v>2</v>
      </c>
      <c r="H244">
        <v>1</v>
      </c>
      <c r="I244" t="s">
        <v>309</v>
      </c>
    </row>
    <row r="245" spans="1:9" x14ac:dyDescent="0.25">
      <c r="A245">
        <v>16</v>
      </c>
      <c r="B245" t="s">
        <v>284</v>
      </c>
      <c r="D245" t="s">
        <v>250</v>
      </c>
      <c r="E245">
        <v>71.989999999999995</v>
      </c>
      <c r="F245" t="s">
        <v>195</v>
      </c>
      <c r="G245">
        <v>2</v>
      </c>
      <c r="H245">
        <v>1</v>
      </c>
      <c r="I245" t="s">
        <v>326</v>
      </c>
    </row>
    <row r="246" spans="1:9" x14ac:dyDescent="0.25">
      <c r="A246">
        <v>16</v>
      </c>
      <c r="B246" t="s">
        <v>284</v>
      </c>
      <c r="D246" t="s">
        <v>250</v>
      </c>
      <c r="E246">
        <v>97.99</v>
      </c>
      <c r="F246" t="s">
        <v>195</v>
      </c>
      <c r="G246">
        <v>2</v>
      </c>
      <c r="H246">
        <v>0</v>
      </c>
      <c r="I246" t="s">
        <v>289</v>
      </c>
    </row>
    <row r="247" spans="1:9" x14ac:dyDescent="0.25">
      <c r="A247">
        <v>16</v>
      </c>
      <c r="B247" t="s">
        <v>230</v>
      </c>
      <c r="D247" t="s">
        <v>189</v>
      </c>
      <c r="E247">
        <v>162.99</v>
      </c>
      <c r="F247" t="s">
        <v>194</v>
      </c>
      <c r="G247">
        <v>4</v>
      </c>
      <c r="H247">
        <v>1</v>
      </c>
      <c r="I247" t="s">
        <v>347</v>
      </c>
    </row>
    <row r="248" spans="1:9" x14ac:dyDescent="0.25">
      <c r="A248">
        <v>16</v>
      </c>
      <c r="B248" t="s">
        <v>255</v>
      </c>
      <c r="D248" t="s">
        <v>250</v>
      </c>
      <c r="E248">
        <v>67.989999999999995</v>
      </c>
      <c r="F248" t="s">
        <v>195</v>
      </c>
      <c r="G248">
        <v>2</v>
      </c>
      <c r="H248">
        <v>0</v>
      </c>
      <c r="I248" t="s">
        <v>477</v>
      </c>
    </row>
    <row r="249" spans="1:9" x14ac:dyDescent="0.25">
      <c r="A249">
        <v>16</v>
      </c>
      <c r="B249" t="s">
        <v>223</v>
      </c>
      <c r="D249" t="s">
        <v>189</v>
      </c>
      <c r="E249">
        <v>138.99</v>
      </c>
      <c r="F249" t="s">
        <v>195</v>
      </c>
      <c r="G249">
        <v>2</v>
      </c>
      <c r="H249">
        <v>1</v>
      </c>
      <c r="I249" t="s">
        <v>289</v>
      </c>
    </row>
    <row r="250" spans="1:9" x14ac:dyDescent="0.25">
      <c r="A250">
        <v>16</v>
      </c>
      <c r="B250" t="s">
        <v>223</v>
      </c>
      <c r="D250" t="s">
        <v>189</v>
      </c>
      <c r="E250">
        <v>156.99</v>
      </c>
      <c r="F250" t="s">
        <v>195</v>
      </c>
      <c r="G250">
        <v>2</v>
      </c>
      <c r="H250">
        <v>1</v>
      </c>
      <c r="I250" t="s">
        <v>363</v>
      </c>
    </row>
    <row r="251" spans="1:9" x14ac:dyDescent="0.25">
      <c r="A251">
        <v>16</v>
      </c>
      <c r="B251" t="s">
        <v>255</v>
      </c>
      <c r="D251" t="s">
        <v>250</v>
      </c>
      <c r="E251">
        <v>88.99</v>
      </c>
      <c r="F251" t="s">
        <v>195</v>
      </c>
      <c r="G251">
        <v>2</v>
      </c>
      <c r="H251">
        <v>0</v>
      </c>
      <c r="I251" t="s">
        <v>318</v>
      </c>
    </row>
    <row r="252" spans="1:9" x14ac:dyDescent="0.25">
      <c r="A252">
        <v>16</v>
      </c>
      <c r="B252" t="s">
        <v>251</v>
      </c>
      <c r="D252" t="s">
        <v>189</v>
      </c>
      <c r="E252">
        <v>131.99</v>
      </c>
      <c r="F252" t="s">
        <v>196</v>
      </c>
      <c r="G252">
        <v>2</v>
      </c>
      <c r="H252">
        <v>0</v>
      </c>
      <c r="I252" t="s">
        <v>296</v>
      </c>
    </row>
    <row r="253" spans="1:9" x14ac:dyDescent="0.25">
      <c r="A253">
        <v>16</v>
      </c>
      <c r="B253" t="s">
        <v>260</v>
      </c>
      <c r="D253" t="s">
        <v>250</v>
      </c>
      <c r="E253">
        <v>81.99</v>
      </c>
      <c r="F253" t="s">
        <v>193</v>
      </c>
      <c r="G253">
        <v>2</v>
      </c>
      <c r="H253">
        <v>0</v>
      </c>
      <c r="I253" t="s">
        <v>325</v>
      </c>
    </row>
    <row r="254" spans="1:9" x14ac:dyDescent="0.25">
      <c r="A254">
        <v>17</v>
      </c>
      <c r="B254" t="s">
        <v>261</v>
      </c>
      <c r="D254" t="s">
        <v>250</v>
      </c>
      <c r="E254">
        <v>59.99</v>
      </c>
      <c r="F254" t="s">
        <v>194</v>
      </c>
      <c r="G254">
        <v>4</v>
      </c>
      <c r="H254">
        <v>0</v>
      </c>
      <c r="I254" t="s">
        <v>304</v>
      </c>
    </row>
    <row r="255" spans="1:9" x14ac:dyDescent="0.25">
      <c r="A255">
        <v>17</v>
      </c>
      <c r="B255" t="s">
        <v>268</v>
      </c>
      <c r="D255" t="s">
        <v>250</v>
      </c>
      <c r="E255">
        <v>85.99</v>
      </c>
      <c r="F255" t="s">
        <v>193</v>
      </c>
      <c r="G255">
        <v>2</v>
      </c>
      <c r="H255">
        <v>0</v>
      </c>
      <c r="I255" t="s">
        <v>84</v>
      </c>
    </row>
    <row r="256" spans="1:9" x14ac:dyDescent="0.25">
      <c r="A256">
        <v>17</v>
      </c>
      <c r="B256" t="s">
        <v>280</v>
      </c>
      <c r="D256" t="s">
        <v>189</v>
      </c>
      <c r="E256">
        <v>145.99</v>
      </c>
      <c r="F256" t="s">
        <v>196</v>
      </c>
      <c r="G256">
        <v>2</v>
      </c>
      <c r="H256">
        <v>0</v>
      </c>
      <c r="I256" t="s">
        <v>289</v>
      </c>
    </row>
    <row r="257" spans="1:9" x14ac:dyDescent="0.25">
      <c r="A257">
        <v>17</v>
      </c>
      <c r="B257" t="s">
        <v>281</v>
      </c>
      <c r="D257" t="s">
        <v>66</v>
      </c>
      <c r="E257">
        <v>247.99</v>
      </c>
      <c r="F257" t="s">
        <v>196</v>
      </c>
      <c r="G257">
        <v>2</v>
      </c>
      <c r="H257">
        <v>1</v>
      </c>
      <c r="I257" t="s">
        <v>294</v>
      </c>
    </row>
    <row r="258" spans="1:9" x14ac:dyDescent="0.25">
      <c r="A258">
        <v>17</v>
      </c>
      <c r="B258" t="s">
        <v>218</v>
      </c>
      <c r="D258" t="s">
        <v>190</v>
      </c>
      <c r="E258">
        <v>118.99</v>
      </c>
      <c r="F258" t="s">
        <v>193</v>
      </c>
      <c r="G258">
        <v>2</v>
      </c>
      <c r="H258">
        <v>1</v>
      </c>
      <c r="I258" t="s">
        <v>322</v>
      </c>
    </row>
    <row r="259" spans="1:9" x14ac:dyDescent="0.25">
      <c r="A259">
        <v>17</v>
      </c>
      <c r="B259" t="s">
        <v>228</v>
      </c>
      <c r="D259" t="s">
        <v>189</v>
      </c>
      <c r="E259">
        <v>144.99</v>
      </c>
      <c r="F259" t="s">
        <v>194</v>
      </c>
      <c r="G259">
        <v>4</v>
      </c>
      <c r="H259">
        <v>0</v>
      </c>
      <c r="I259" t="s">
        <v>346</v>
      </c>
    </row>
    <row r="260" spans="1:9" x14ac:dyDescent="0.25">
      <c r="A260">
        <v>17</v>
      </c>
      <c r="B260" t="s">
        <v>271</v>
      </c>
      <c r="D260" t="s">
        <v>250</v>
      </c>
      <c r="E260">
        <v>62.99</v>
      </c>
      <c r="F260" t="s">
        <v>193</v>
      </c>
      <c r="G260">
        <v>2</v>
      </c>
      <c r="H260">
        <v>0</v>
      </c>
      <c r="I260" t="s">
        <v>299</v>
      </c>
    </row>
    <row r="261" spans="1:9" x14ac:dyDescent="0.25">
      <c r="A261">
        <v>17</v>
      </c>
      <c r="B261" t="s">
        <v>235</v>
      </c>
      <c r="D261" t="s">
        <v>66</v>
      </c>
      <c r="E261">
        <v>262.99</v>
      </c>
      <c r="F261" t="s">
        <v>194</v>
      </c>
      <c r="G261">
        <v>4</v>
      </c>
      <c r="H261">
        <v>0</v>
      </c>
      <c r="I261" t="s">
        <v>316</v>
      </c>
    </row>
    <row r="262" spans="1:9" x14ac:dyDescent="0.25">
      <c r="A262">
        <v>17</v>
      </c>
      <c r="B262" t="s">
        <v>274</v>
      </c>
      <c r="D262" t="s">
        <v>250</v>
      </c>
      <c r="E262">
        <v>68.989999999999995</v>
      </c>
      <c r="F262" t="s">
        <v>193</v>
      </c>
      <c r="G262">
        <v>2</v>
      </c>
      <c r="H262">
        <v>1</v>
      </c>
      <c r="I262" t="s">
        <v>360</v>
      </c>
    </row>
    <row r="263" spans="1:9" x14ac:dyDescent="0.25">
      <c r="A263">
        <v>17</v>
      </c>
      <c r="B263" t="s">
        <v>245</v>
      </c>
      <c r="D263" t="s">
        <v>189</v>
      </c>
      <c r="E263">
        <v>147.99</v>
      </c>
      <c r="F263" t="s">
        <v>195</v>
      </c>
      <c r="G263">
        <v>2</v>
      </c>
      <c r="H263">
        <v>0</v>
      </c>
      <c r="I263" t="s">
        <v>83</v>
      </c>
    </row>
    <row r="264" spans="1:9" x14ac:dyDescent="0.25">
      <c r="A264">
        <v>17</v>
      </c>
      <c r="B264" t="s">
        <v>206</v>
      </c>
      <c r="D264" t="s">
        <v>189</v>
      </c>
      <c r="E264">
        <v>131.99</v>
      </c>
      <c r="F264" t="s">
        <v>194</v>
      </c>
      <c r="G264">
        <v>4</v>
      </c>
      <c r="H264">
        <v>0</v>
      </c>
      <c r="I264" t="s">
        <v>82</v>
      </c>
    </row>
    <row r="265" spans="1:9" x14ac:dyDescent="0.25">
      <c r="A265">
        <v>17</v>
      </c>
      <c r="B265" t="s">
        <v>284</v>
      </c>
      <c r="D265" t="s">
        <v>250</v>
      </c>
      <c r="E265">
        <v>80.989999999999995</v>
      </c>
      <c r="F265" t="s">
        <v>195</v>
      </c>
      <c r="G265">
        <v>2</v>
      </c>
      <c r="H265">
        <v>1</v>
      </c>
      <c r="I265" t="s">
        <v>309</v>
      </c>
    </row>
    <row r="266" spans="1:9" x14ac:dyDescent="0.25">
      <c r="A266">
        <v>17</v>
      </c>
      <c r="B266" t="s">
        <v>271</v>
      </c>
      <c r="D266" t="s">
        <v>250</v>
      </c>
      <c r="E266">
        <v>72.989999999999995</v>
      </c>
      <c r="F266" t="s">
        <v>193</v>
      </c>
      <c r="G266">
        <v>2</v>
      </c>
      <c r="H266">
        <v>0</v>
      </c>
      <c r="I266" t="s">
        <v>84</v>
      </c>
    </row>
    <row r="267" spans="1:9" x14ac:dyDescent="0.25">
      <c r="A267">
        <v>17</v>
      </c>
      <c r="B267" t="s">
        <v>206</v>
      </c>
      <c r="D267" t="s">
        <v>189</v>
      </c>
      <c r="E267">
        <v>160.99</v>
      </c>
      <c r="F267" t="s">
        <v>194</v>
      </c>
      <c r="G267">
        <v>4</v>
      </c>
      <c r="H267">
        <v>0</v>
      </c>
      <c r="I267" t="s">
        <v>84</v>
      </c>
    </row>
    <row r="268" spans="1:9" x14ac:dyDescent="0.25">
      <c r="A268">
        <v>17</v>
      </c>
      <c r="B268" t="s">
        <v>264</v>
      </c>
      <c r="D268" t="s">
        <v>250</v>
      </c>
      <c r="E268">
        <v>84.99</v>
      </c>
      <c r="F268" t="s">
        <v>196</v>
      </c>
      <c r="G268">
        <v>2</v>
      </c>
      <c r="H268">
        <v>1</v>
      </c>
      <c r="I268" t="s">
        <v>300</v>
      </c>
    </row>
    <row r="269" spans="1:9" x14ac:dyDescent="0.25">
      <c r="A269">
        <v>17</v>
      </c>
      <c r="B269" t="s">
        <v>232</v>
      </c>
      <c r="D269" t="s">
        <v>66</v>
      </c>
      <c r="E269">
        <v>257.99</v>
      </c>
      <c r="F269" t="s">
        <v>194</v>
      </c>
      <c r="G269">
        <v>4</v>
      </c>
      <c r="H269">
        <v>0</v>
      </c>
      <c r="I269" t="s">
        <v>324</v>
      </c>
    </row>
    <row r="270" spans="1:9" x14ac:dyDescent="0.25">
      <c r="A270">
        <v>17</v>
      </c>
      <c r="B270" t="s">
        <v>271</v>
      </c>
      <c r="D270" t="s">
        <v>250</v>
      </c>
      <c r="E270">
        <v>97.99</v>
      </c>
      <c r="F270" t="s">
        <v>193</v>
      </c>
      <c r="G270">
        <v>2</v>
      </c>
      <c r="H270">
        <v>1</v>
      </c>
      <c r="I270" t="s">
        <v>83</v>
      </c>
    </row>
    <row r="271" spans="1:9" x14ac:dyDescent="0.25">
      <c r="A271">
        <v>17</v>
      </c>
      <c r="B271" t="s">
        <v>214</v>
      </c>
      <c r="D271" t="s">
        <v>66</v>
      </c>
      <c r="E271">
        <v>247.99</v>
      </c>
      <c r="F271" t="s">
        <v>195</v>
      </c>
      <c r="G271">
        <v>2</v>
      </c>
      <c r="H271">
        <v>1</v>
      </c>
      <c r="I271" t="s">
        <v>374</v>
      </c>
    </row>
    <row r="272" spans="1:9" x14ac:dyDescent="0.25">
      <c r="A272">
        <v>17</v>
      </c>
      <c r="B272" t="s">
        <v>212</v>
      </c>
      <c r="D272" t="s">
        <v>189</v>
      </c>
      <c r="E272">
        <v>167.99</v>
      </c>
      <c r="F272" t="s">
        <v>193</v>
      </c>
      <c r="G272">
        <v>2</v>
      </c>
      <c r="H272">
        <v>1</v>
      </c>
      <c r="I272" t="s">
        <v>374</v>
      </c>
    </row>
    <row r="273" spans="1:9" x14ac:dyDescent="0.25">
      <c r="A273">
        <v>17</v>
      </c>
      <c r="B273" t="s">
        <v>219</v>
      </c>
      <c r="D273" t="s">
        <v>189</v>
      </c>
      <c r="E273">
        <v>158.99</v>
      </c>
      <c r="F273" t="s">
        <v>193</v>
      </c>
      <c r="G273">
        <v>2</v>
      </c>
      <c r="H273">
        <v>0</v>
      </c>
      <c r="I273" t="s">
        <v>407</v>
      </c>
    </row>
    <row r="274" spans="1:9" x14ac:dyDescent="0.25">
      <c r="A274">
        <v>18</v>
      </c>
      <c r="B274" t="s">
        <v>244</v>
      </c>
      <c r="D274" t="s">
        <v>190</v>
      </c>
      <c r="E274">
        <v>102.99</v>
      </c>
      <c r="F274" t="s">
        <v>195</v>
      </c>
      <c r="G274">
        <v>2</v>
      </c>
      <c r="H274">
        <v>0</v>
      </c>
      <c r="I274" t="s">
        <v>438</v>
      </c>
    </row>
    <row r="275" spans="1:9" x14ac:dyDescent="0.25">
      <c r="A275">
        <v>18</v>
      </c>
      <c r="B275" t="s">
        <v>275</v>
      </c>
      <c r="D275" t="s">
        <v>250</v>
      </c>
      <c r="E275">
        <v>89.99</v>
      </c>
      <c r="F275" t="s">
        <v>194</v>
      </c>
      <c r="G275">
        <v>4</v>
      </c>
      <c r="H275">
        <v>1</v>
      </c>
      <c r="I275" t="s">
        <v>85</v>
      </c>
    </row>
    <row r="276" spans="1:9" x14ac:dyDescent="0.25">
      <c r="A276">
        <v>18</v>
      </c>
      <c r="B276" t="s">
        <v>263</v>
      </c>
      <c r="D276" t="s">
        <v>190</v>
      </c>
      <c r="E276">
        <v>112.99</v>
      </c>
      <c r="F276" t="s">
        <v>196</v>
      </c>
      <c r="G276">
        <v>2</v>
      </c>
      <c r="H276">
        <v>0</v>
      </c>
      <c r="I276" t="s">
        <v>335</v>
      </c>
    </row>
    <row r="277" spans="1:9" x14ac:dyDescent="0.25">
      <c r="A277">
        <v>18</v>
      </c>
      <c r="B277" t="s">
        <v>239</v>
      </c>
      <c r="D277" t="s">
        <v>66</v>
      </c>
      <c r="E277">
        <v>258.99</v>
      </c>
      <c r="F277" t="s">
        <v>195</v>
      </c>
      <c r="G277">
        <v>2</v>
      </c>
      <c r="H277">
        <v>0</v>
      </c>
      <c r="I277" t="s">
        <v>384</v>
      </c>
    </row>
    <row r="278" spans="1:9" x14ac:dyDescent="0.25">
      <c r="A278">
        <v>18</v>
      </c>
      <c r="B278" t="s">
        <v>212</v>
      </c>
      <c r="D278" t="s">
        <v>189</v>
      </c>
      <c r="E278">
        <v>142.99</v>
      </c>
      <c r="F278" t="s">
        <v>193</v>
      </c>
      <c r="G278">
        <v>2</v>
      </c>
      <c r="H278">
        <v>1</v>
      </c>
      <c r="I278" t="s">
        <v>82</v>
      </c>
    </row>
    <row r="279" spans="1:9" x14ac:dyDescent="0.25">
      <c r="A279">
        <v>18</v>
      </c>
      <c r="B279" t="s">
        <v>236</v>
      </c>
      <c r="D279" t="s">
        <v>66</v>
      </c>
      <c r="E279">
        <v>263.99</v>
      </c>
      <c r="F279" t="s">
        <v>193</v>
      </c>
      <c r="G279">
        <v>2</v>
      </c>
      <c r="H279">
        <v>1</v>
      </c>
      <c r="I279" t="s">
        <v>478</v>
      </c>
    </row>
    <row r="280" spans="1:9" x14ac:dyDescent="0.25">
      <c r="A280">
        <v>18</v>
      </c>
      <c r="B280" t="s">
        <v>217</v>
      </c>
      <c r="D280" t="s">
        <v>190</v>
      </c>
      <c r="E280">
        <v>109.99</v>
      </c>
      <c r="F280" t="s">
        <v>194</v>
      </c>
      <c r="G280">
        <v>4</v>
      </c>
      <c r="H280">
        <v>1</v>
      </c>
      <c r="I280" t="s">
        <v>85</v>
      </c>
    </row>
    <row r="281" spans="1:9" x14ac:dyDescent="0.25">
      <c r="A281">
        <v>18</v>
      </c>
      <c r="B281" t="s">
        <v>212</v>
      </c>
      <c r="D281" t="s">
        <v>189</v>
      </c>
      <c r="E281">
        <v>163.99</v>
      </c>
      <c r="F281" t="s">
        <v>193</v>
      </c>
      <c r="G281">
        <v>2</v>
      </c>
      <c r="H281">
        <v>1</v>
      </c>
      <c r="I281" t="s">
        <v>408</v>
      </c>
    </row>
    <row r="282" spans="1:9" x14ac:dyDescent="0.25">
      <c r="A282">
        <v>18</v>
      </c>
      <c r="B282" t="s">
        <v>206</v>
      </c>
      <c r="D282" t="s">
        <v>189</v>
      </c>
      <c r="E282">
        <v>151.99</v>
      </c>
      <c r="F282" t="s">
        <v>194</v>
      </c>
      <c r="G282">
        <v>4</v>
      </c>
      <c r="H282">
        <v>1</v>
      </c>
      <c r="I282" t="s">
        <v>479</v>
      </c>
    </row>
    <row r="283" spans="1:9" x14ac:dyDescent="0.25">
      <c r="A283">
        <v>18</v>
      </c>
      <c r="B283" t="s">
        <v>284</v>
      </c>
      <c r="D283" t="s">
        <v>250</v>
      </c>
      <c r="E283">
        <v>77.989999999999995</v>
      </c>
      <c r="F283" t="s">
        <v>195</v>
      </c>
      <c r="G283">
        <v>2</v>
      </c>
      <c r="H283">
        <v>0</v>
      </c>
      <c r="I283" t="s">
        <v>344</v>
      </c>
    </row>
    <row r="284" spans="1:9" x14ac:dyDescent="0.25">
      <c r="A284">
        <v>18</v>
      </c>
      <c r="B284" t="s">
        <v>218</v>
      </c>
      <c r="D284" t="s">
        <v>190</v>
      </c>
      <c r="E284">
        <v>126.99</v>
      </c>
      <c r="F284" t="s">
        <v>193</v>
      </c>
      <c r="G284">
        <v>2</v>
      </c>
      <c r="H284">
        <v>0</v>
      </c>
      <c r="I284" t="s">
        <v>314</v>
      </c>
    </row>
    <row r="285" spans="1:9" x14ac:dyDescent="0.25">
      <c r="A285">
        <v>18</v>
      </c>
      <c r="B285" t="s">
        <v>223</v>
      </c>
      <c r="D285" t="s">
        <v>189</v>
      </c>
      <c r="E285">
        <v>129.99</v>
      </c>
      <c r="F285" t="s">
        <v>195</v>
      </c>
      <c r="G285">
        <v>2</v>
      </c>
      <c r="H285">
        <v>0</v>
      </c>
      <c r="I285" t="s">
        <v>412</v>
      </c>
    </row>
    <row r="286" spans="1:9" x14ac:dyDescent="0.25">
      <c r="A286">
        <v>18</v>
      </c>
      <c r="B286" t="s">
        <v>257</v>
      </c>
      <c r="D286" t="s">
        <v>250</v>
      </c>
      <c r="E286">
        <v>87.99</v>
      </c>
      <c r="F286" t="s">
        <v>195</v>
      </c>
      <c r="G286">
        <v>2</v>
      </c>
      <c r="H286">
        <v>0</v>
      </c>
      <c r="I286" t="s">
        <v>301</v>
      </c>
    </row>
    <row r="287" spans="1:9" x14ac:dyDescent="0.25">
      <c r="A287">
        <v>18</v>
      </c>
      <c r="B287" t="s">
        <v>273</v>
      </c>
      <c r="D287" t="s">
        <v>66</v>
      </c>
      <c r="E287">
        <v>232.99</v>
      </c>
      <c r="F287" t="s">
        <v>196</v>
      </c>
      <c r="G287">
        <v>2</v>
      </c>
      <c r="H287">
        <v>0</v>
      </c>
      <c r="I287" t="s">
        <v>480</v>
      </c>
    </row>
    <row r="288" spans="1:9" x14ac:dyDescent="0.25">
      <c r="A288">
        <v>19</v>
      </c>
      <c r="B288" t="s">
        <v>211</v>
      </c>
      <c r="D288" t="s">
        <v>189</v>
      </c>
      <c r="E288">
        <v>165.99</v>
      </c>
      <c r="F288" t="s">
        <v>195</v>
      </c>
      <c r="G288">
        <v>2</v>
      </c>
      <c r="H288">
        <v>1</v>
      </c>
      <c r="I288" t="s">
        <v>327</v>
      </c>
    </row>
    <row r="289" spans="1:9" x14ac:dyDescent="0.25">
      <c r="A289">
        <v>19</v>
      </c>
      <c r="B289" t="s">
        <v>233</v>
      </c>
      <c r="D289" t="s">
        <v>66</v>
      </c>
      <c r="E289">
        <v>249.99</v>
      </c>
      <c r="F289" t="s">
        <v>194</v>
      </c>
      <c r="G289">
        <v>4</v>
      </c>
      <c r="H289">
        <v>1</v>
      </c>
      <c r="I289" t="s">
        <v>481</v>
      </c>
    </row>
    <row r="290" spans="1:9" x14ac:dyDescent="0.25">
      <c r="A290">
        <v>19</v>
      </c>
      <c r="B290" t="s">
        <v>208</v>
      </c>
      <c r="D290" t="s">
        <v>190</v>
      </c>
      <c r="E290">
        <v>120.99</v>
      </c>
      <c r="F290" t="s">
        <v>194</v>
      </c>
      <c r="G290">
        <v>4</v>
      </c>
      <c r="H290">
        <v>1</v>
      </c>
      <c r="I290" t="s">
        <v>87</v>
      </c>
    </row>
    <row r="291" spans="1:9" x14ac:dyDescent="0.25">
      <c r="A291">
        <v>19</v>
      </c>
      <c r="B291" t="s">
        <v>242</v>
      </c>
      <c r="D291" t="s">
        <v>190</v>
      </c>
      <c r="E291">
        <v>134.99</v>
      </c>
      <c r="F291" t="s">
        <v>195</v>
      </c>
      <c r="G291">
        <v>2</v>
      </c>
      <c r="H291">
        <v>1</v>
      </c>
      <c r="I291" t="s">
        <v>332</v>
      </c>
    </row>
    <row r="292" spans="1:9" x14ac:dyDescent="0.25">
      <c r="A292">
        <v>19</v>
      </c>
      <c r="B292" t="s">
        <v>219</v>
      </c>
      <c r="D292" t="s">
        <v>189</v>
      </c>
      <c r="E292">
        <v>147.99</v>
      </c>
      <c r="F292" t="s">
        <v>193</v>
      </c>
      <c r="G292">
        <v>2</v>
      </c>
      <c r="H292">
        <v>0</v>
      </c>
      <c r="I292" t="s">
        <v>443</v>
      </c>
    </row>
    <row r="293" spans="1:9" x14ac:dyDescent="0.25">
      <c r="A293">
        <v>19</v>
      </c>
      <c r="B293" t="s">
        <v>280</v>
      </c>
      <c r="D293" t="s">
        <v>189</v>
      </c>
      <c r="E293">
        <v>152.99</v>
      </c>
      <c r="F293" t="s">
        <v>196</v>
      </c>
      <c r="G293">
        <v>2</v>
      </c>
      <c r="H293">
        <v>0</v>
      </c>
      <c r="I293" t="s">
        <v>448</v>
      </c>
    </row>
    <row r="294" spans="1:9" x14ac:dyDescent="0.25">
      <c r="A294">
        <v>19</v>
      </c>
      <c r="B294" t="s">
        <v>259</v>
      </c>
      <c r="D294" t="s">
        <v>66</v>
      </c>
      <c r="E294">
        <v>241.99</v>
      </c>
      <c r="F294" t="s">
        <v>196</v>
      </c>
      <c r="G294">
        <v>2</v>
      </c>
      <c r="H294">
        <v>0</v>
      </c>
      <c r="I294" t="s">
        <v>391</v>
      </c>
    </row>
    <row r="295" spans="1:9" x14ac:dyDescent="0.25">
      <c r="A295">
        <v>19</v>
      </c>
      <c r="B295" t="s">
        <v>221</v>
      </c>
      <c r="D295" t="s">
        <v>66</v>
      </c>
      <c r="E295">
        <v>235.99</v>
      </c>
      <c r="F295" t="s">
        <v>195</v>
      </c>
      <c r="G295">
        <v>2</v>
      </c>
      <c r="H295">
        <v>1</v>
      </c>
      <c r="I295" t="s">
        <v>83</v>
      </c>
    </row>
    <row r="296" spans="1:9" x14ac:dyDescent="0.25">
      <c r="A296">
        <v>19</v>
      </c>
      <c r="B296" t="s">
        <v>264</v>
      </c>
      <c r="D296" t="s">
        <v>250</v>
      </c>
      <c r="E296">
        <v>85.99</v>
      </c>
      <c r="F296" t="s">
        <v>196</v>
      </c>
      <c r="G296">
        <v>2</v>
      </c>
      <c r="H296">
        <v>0</v>
      </c>
      <c r="I296" t="s">
        <v>438</v>
      </c>
    </row>
    <row r="297" spans="1:9" x14ac:dyDescent="0.25">
      <c r="A297">
        <v>19</v>
      </c>
      <c r="B297" t="s">
        <v>218</v>
      </c>
      <c r="D297" t="s">
        <v>190</v>
      </c>
      <c r="E297">
        <v>106.99</v>
      </c>
      <c r="F297" t="s">
        <v>193</v>
      </c>
      <c r="G297">
        <v>2</v>
      </c>
      <c r="H297">
        <v>1</v>
      </c>
      <c r="I297" t="s">
        <v>87</v>
      </c>
    </row>
    <row r="298" spans="1:9" x14ac:dyDescent="0.25">
      <c r="A298">
        <v>19</v>
      </c>
      <c r="B298" t="s">
        <v>264</v>
      </c>
      <c r="D298" t="s">
        <v>250</v>
      </c>
      <c r="E298">
        <v>65.989999999999995</v>
      </c>
      <c r="F298" t="s">
        <v>196</v>
      </c>
      <c r="G298">
        <v>2</v>
      </c>
      <c r="H298">
        <v>0</v>
      </c>
      <c r="I298" t="s">
        <v>321</v>
      </c>
    </row>
    <row r="299" spans="1:9" x14ac:dyDescent="0.25">
      <c r="A299">
        <v>19</v>
      </c>
      <c r="B299" t="s">
        <v>277</v>
      </c>
      <c r="D299" t="s">
        <v>190</v>
      </c>
      <c r="E299">
        <v>117.99</v>
      </c>
      <c r="F299" t="s">
        <v>196</v>
      </c>
      <c r="G299">
        <v>2</v>
      </c>
      <c r="H299">
        <v>0</v>
      </c>
      <c r="I299" t="s">
        <v>82</v>
      </c>
    </row>
    <row r="300" spans="1:9" x14ac:dyDescent="0.25">
      <c r="A300">
        <v>19</v>
      </c>
      <c r="B300" t="s">
        <v>215</v>
      </c>
      <c r="D300" t="s">
        <v>189</v>
      </c>
      <c r="E300">
        <v>166.99</v>
      </c>
      <c r="F300" t="s">
        <v>193</v>
      </c>
      <c r="G300">
        <v>2</v>
      </c>
      <c r="H300">
        <v>1</v>
      </c>
      <c r="I300" t="s">
        <v>371</v>
      </c>
    </row>
    <row r="301" spans="1:9" x14ac:dyDescent="0.25">
      <c r="A301">
        <v>19</v>
      </c>
      <c r="B301" t="s">
        <v>236</v>
      </c>
      <c r="D301" t="s">
        <v>66</v>
      </c>
      <c r="E301">
        <v>248.99</v>
      </c>
      <c r="F301" t="s">
        <v>193</v>
      </c>
      <c r="G301">
        <v>2</v>
      </c>
      <c r="H301">
        <v>0</v>
      </c>
      <c r="I301" t="s">
        <v>348</v>
      </c>
    </row>
    <row r="302" spans="1:9" x14ac:dyDescent="0.25">
      <c r="A302">
        <v>19</v>
      </c>
      <c r="B302" t="s">
        <v>229</v>
      </c>
      <c r="D302" t="s">
        <v>66</v>
      </c>
      <c r="E302">
        <v>263.99</v>
      </c>
      <c r="F302" t="s">
        <v>194</v>
      </c>
      <c r="G302">
        <v>4</v>
      </c>
      <c r="H302">
        <v>0</v>
      </c>
      <c r="I302" t="s">
        <v>84</v>
      </c>
    </row>
    <row r="303" spans="1:9" x14ac:dyDescent="0.25">
      <c r="A303">
        <v>19</v>
      </c>
      <c r="B303" t="s">
        <v>217</v>
      </c>
      <c r="D303" t="s">
        <v>190</v>
      </c>
      <c r="E303">
        <v>133.99</v>
      </c>
      <c r="F303" t="s">
        <v>194</v>
      </c>
      <c r="G303">
        <v>4</v>
      </c>
      <c r="H303">
        <v>0</v>
      </c>
      <c r="I303" t="s">
        <v>482</v>
      </c>
    </row>
    <row r="304" spans="1:9" x14ac:dyDescent="0.25">
      <c r="A304">
        <v>19</v>
      </c>
      <c r="B304" t="s">
        <v>281</v>
      </c>
      <c r="D304" t="s">
        <v>66</v>
      </c>
      <c r="E304">
        <v>261.99</v>
      </c>
      <c r="F304" t="s">
        <v>196</v>
      </c>
      <c r="G304">
        <v>2</v>
      </c>
      <c r="H304">
        <v>0</v>
      </c>
      <c r="I304" t="s">
        <v>84</v>
      </c>
    </row>
    <row r="305" spans="1:9" x14ac:dyDescent="0.25">
      <c r="A305">
        <v>20</v>
      </c>
      <c r="B305" t="s">
        <v>284</v>
      </c>
      <c r="D305" t="s">
        <v>250</v>
      </c>
      <c r="E305">
        <v>72.989999999999995</v>
      </c>
      <c r="F305" t="s">
        <v>195</v>
      </c>
      <c r="G305">
        <v>2</v>
      </c>
      <c r="H305">
        <v>0</v>
      </c>
      <c r="I305" t="s">
        <v>88</v>
      </c>
    </row>
    <row r="306" spans="1:9" x14ac:dyDescent="0.25">
      <c r="A306">
        <v>20</v>
      </c>
      <c r="B306" t="s">
        <v>265</v>
      </c>
      <c r="D306" t="s">
        <v>190</v>
      </c>
      <c r="E306">
        <v>127.99</v>
      </c>
      <c r="F306" t="s">
        <v>196</v>
      </c>
      <c r="G306">
        <v>2</v>
      </c>
      <c r="H306">
        <v>1</v>
      </c>
      <c r="I306" t="s">
        <v>483</v>
      </c>
    </row>
    <row r="307" spans="1:9" x14ac:dyDescent="0.25">
      <c r="A307">
        <v>20</v>
      </c>
      <c r="B307" t="s">
        <v>238</v>
      </c>
      <c r="D307" t="s">
        <v>66</v>
      </c>
      <c r="E307">
        <v>250.99</v>
      </c>
      <c r="F307" t="s">
        <v>193</v>
      </c>
      <c r="G307">
        <v>2</v>
      </c>
      <c r="H307">
        <v>0</v>
      </c>
      <c r="I307" t="s">
        <v>85</v>
      </c>
    </row>
    <row r="308" spans="1:9" x14ac:dyDescent="0.25">
      <c r="A308">
        <v>20</v>
      </c>
      <c r="B308" t="s">
        <v>257</v>
      </c>
      <c r="D308" t="s">
        <v>250</v>
      </c>
      <c r="E308">
        <v>92.99</v>
      </c>
      <c r="F308" t="s">
        <v>195</v>
      </c>
      <c r="G308">
        <v>2</v>
      </c>
      <c r="H308">
        <v>1</v>
      </c>
      <c r="I308" t="s">
        <v>304</v>
      </c>
    </row>
    <row r="309" spans="1:9" x14ac:dyDescent="0.25">
      <c r="A309">
        <v>20</v>
      </c>
      <c r="B309" t="s">
        <v>286</v>
      </c>
      <c r="D309" t="s">
        <v>250</v>
      </c>
      <c r="E309">
        <v>81.99</v>
      </c>
      <c r="F309" t="s">
        <v>195</v>
      </c>
      <c r="G309">
        <v>2</v>
      </c>
      <c r="H309">
        <v>0</v>
      </c>
      <c r="I309" t="s">
        <v>82</v>
      </c>
    </row>
    <row r="310" spans="1:9" x14ac:dyDescent="0.25">
      <c r="A310">
        <v>20</v>
      </c>
      <c r="B310" t="s">
        <v>267</v>
      </c>
      <c r="D310" t="s">
        <v>250</v>
      </c>
      <c r="E310">
        <v>93.99</v>
      </c>
      <c r="F310" t="s">
        <v>194</v>
      </c>
      <c r="G310">
        <v>4</v>
      </c>
      <c r="H310">
        <v>0</v>
      </c>
      <c r="I310" t="s">
        <v>87</v>
      </c>
    </row>
    <row r="311" spans="1:9" x14ac:dyDescent="0.25">
      <c r="A311">
        <v>20</v>
      </c>
      <c r="B311" t="s">
        <v>232</v>
      </c>
      <c r="D311" t="s">
        <v>66</v>
      </c>
      <c r="E311">
        <v>259.99</v>
      </c>
      <c r="F311" t="s">
        <v>194</v>
      </c>
      <c r="G311">
        <v>4</v>
      </c>
      <c r="H311">
        <v>1</v>
      </c>
      <c r="I311" t="s">
        <v>377</v>
      </c>
    </row>
    <row r="312" spans="1:9" x14ac:dyDescent="0.25">
      <c r="A312">
        <v>20</v>
      </c>
      <c r="B312" t="s">
        <v>231</v>
      </c>
      <c r="D312" t="s">
        <v>190</v>
      </c>
      <c r="E312">
        <v>131.99</v>
      </c>
      <c r="F312" t="s">
        <v>193</v>
      </c>
      <c r="G312">
        <v>2</v>
      </c>
      <c r="H312">
        <v>1</v>
      </c>
      <c r="I312" t="s">
        <v>359</v>
      </c>
    </row>
    <row r="313" spans="1:9" x14ac:dyDescent="0.25">
      <c r="A313">
        <v>20</v>
      </c>
      <c r="B313" t="s">
        <v>267</v>
      </c>
      <c r="D313" t="s">
        <v>250</v>
      </c>
      <c r="E313">
        <v>88.99</v>
      </c>
      <c r="F313" t="s">
        <v>194</v>
      </c>
      <c r="G313">
        <v>4</v>
      </c>
      <c r="H313">
        <v>0</v>
      </c>
      <c r="I313" t="s">
        <v>334</v>
      </c>
    </row>
    <row r="314" spans="1:9" x14ac:dyDescent="0.25">
      <c r="A314">
        <v>20</v>
      </c>
      <c r="B314" t="s">
        <v>256</v>
      </c>
      <c r="D314" t="s">
        <v>250</v>
      </c>
      <c r="E314">
        <v>91.99</v>
      </c>
      <c r="F314" t="s">
        <v>194</v>
      </c>
      <c r="G314">
        <v>4</v>
      </c>
      <c r="H314">
        <v>0</v>
      </c>
      <c r="I314" t="s">
        <v>430</v>
      </c>
    </row>
    <row r="315" spans="1:9" x14ac:dyDescent="0.25">
      <c r="A315">
        <v>20</v>
      </c>
      <c r="B315" t="s">
        <v>213</v>
      </c>
      <c r="D315" t="s">
        <v>190</v>
      </c>
      <c r="E315">
        <v>115.99</v>
      </c>
      <c r="F315" t="s">
        <v>195</v>
      </c>
      <c r="G315">
        <v>2</v>
      </c>
      <c r="H315">
        <v>1</v>
      </c>
      <c r="I315" t="s">
        <v>339</v>
      </c>
    </row>
    <row r="316" spans="1:9" x14ac:dyDescent="0.25">
      <c r="A316">
        <v>20</v>
      </c>
      <c r="B316" t="s">
        <v>256</v>
      </c>
      <c r="D316" t="s">
        <v>250</v>
      </c>
      <c r="E316">
        <v>77.989999999999995</v>
      </c>
      <c r="F316" t="s">
        <v>194</v>
      </c>
      <c r="G316">
        <v>4</v>
      </c>
      <c r="H316">
        <v>1</v>
      </c>
      <c r="I316" t="s">
        <v>292</v>
      </c>
    </row>
    <row r="317" spans="1:9" x14ac:dyDescent="0.25">
      <c r="A317">
        <v>20</v>
      </c>
      <c r="B317" t="s">
        <v>207</v>
      </c>
      <c r="D317" t="s">
        <v>190</v>
      </c>
      <c r="E317">
        <v>110.99</v>
      </c>
      <c r="F317" t="s">
        <v>193</v>
      </c>
      <c r="G317">
        <v>2</v>
      </c>
      <c r="H317">
        <v>0</v>
      </c>
      <c r="I317" t="s">
        <v>293</v>
      </c>
    </row>
    <row r="318" spans="1:9" x14ac:dyDescent="0.25">
      <c r="A318">
        <v>20</v>
      </c>
      <c r="B318" t="s">
        <v>258</v>
      </c>
      <c r="D318" t="s">
        <v>190</v>
      </c>
      <c r="E318">
        <v>130.99</v>
      </c>
      <c r="F318" t="s">
        <v>196</v>
      </c>
      <c r="G318">
        <v>2</v>
      </c>
      <c r="H318">
        <v>1</v>
      </c>
      <c r="I318" t="s">
        <v>83</v>
      </c>
    </row>
    <row r="319" spans="1:9" x14ac:dyDescent="0.25">
      <c r="A319">
        <v>20</v>
      </c>
      <c r="B319" t="s">
        <v>217</v>
      </c>
      <c r="D319" t="s">
        <v>190</v>
      </c>
      <c r="E319">
        <v>120.99</v>
      </c>
      <c r="F319" t="s">
        <v>194</v>
      </c>
      <c r="G319">
        <v>4</v>
      </c>
      <c r="H319">
        <v>0</v>
      </c>
      <c r="I319" t="s">
        <v>292</v>
      </c>
    </row>
    <row r="320" spans="1:9" x14ac:dyDescent="0.25">
      <c r="A320">
        <v>20</v>
      </c>
      <c r="B320" t="s">
        <v>282</v>
      </c>
      <c r="D320" t="s">
        <v>250</v>
      </c>
      <c r="E320">
        <v>86.99</v>
      </c>
      <c r="F320" t="s">
        <v>196</v>
      </c>
      <c r="G320">
        <v>2</v>
      </c>
      <c r="H320">
        <v>1</v>
      </c>
      <c r="I320" t="s">
        <v>351</v>
      </c>
    </row>
    <row r="321" spans="1:9" x14ac:dyDescent="0.25">
      <c r="A321">
        <v>20</v>
      </c>
      <c r="B321" t="s">
        <v>277</v>
      </c>
      <c r="D321" t="s">
        <v>190</v>
      </c>
      <c r="E321">
        <v>102.99</v>
      </c>
      <c r="F321" t="s">
        <v>196</v>
      </c>
      <c r="G321">
        <v>2</v>
      </c>
      <c r="H321">
        <v>0</v>
      </c>
      <c r="I321" t="s">
        <v>82</v>
      </c>
    </row>
    <row r="322" spans="1:9" x14ac:dyDescent="0.25">
      <c r="A322">
        <v>20</v>
      </c>
      <c r="B322" t="s">
        <v>271</v>
      </c>
      <c r="D322" t="s">
        <v>250</v>
      </c>
      <c r="E322">
        <v>88.99</v>
      </c>
      <c r="F322" t="s">
        <v>193</v>
      </c>
      <c r="G322">
        <v>2</v>
      </c>
      <c r="H322">
        <v>1</v>
      </c>
      <c r="I322" t="s">
        <v>446</v>
      </c>
    </row>
    <row r="323" spans="1:9" x14ac:dyDescent="0.25">
      <c r="A323">
        <v>21</v>
      </c>
      <c r="B323" t="s">
        <v>253</v>
      </c>
      <c r="D323" t="s">
        <v>250</v>
      </c>
      <c r="E323">
        <v>60.99</v>
      </c>
      <c r="F323" t="s">
        <v>194</v>
      </c>
      <c r="G323">
        <v>4</v>
      </c>
      <c r="H323">
        <v>0</v>
      </c>
      <c r="I323" t="s">
        <v>484</v>
      </c>
    </row>
    <row r="324" spans="1:9" x14ac:dyDescent="0.25">
      <c r="A324">
        <v>21</v>
      </c>
      <c r="B324" t="s">
        <v>227</v>
      </c>
      <c r="D324" t="s">
        <v>189</v>
      </c>
      <c r="E324">
        <v>139.99</v>
      </c>
      <c r="F324" t="s">
        <v>194</v>
      </c>
      <c r="G324">
        <v>4</v>
      </c>
      <c r="H324">
        <v>1</v>
      </c>
      <c r="I324" t="s">
        <v>85</v>
      </c>
    </row>
    <row r="325" spans="1:9" x14ac:dyDescent="0.25">
      <c r="A325">
        <v>21</v>
      </c>
      <c r="B325" t="s">
        <v>244</v>
      </c>
      <c r="D325" t="s">
        <v>190</v>
      </c>
      <c r="E325">
        <v>134.99</v>
      </c>
      <c r="F325" t="s">
        <v>195</v>
      </c>
      <c r="G325">
        <v>2</v>
      </c>
      <c r="H325">
        <v>0</v>
      </c>
      <c r="I325" t="s">
        <v>87</v>
      </c>
    </row>
    <row r="326" spans="1:9" x14ac:dyDescent="0.25">
      <c r="A326">
        <v>21</v>
      </c>
      <c r="B326" t="s">
        <v>267</v>
      </c>
      <c r="D326" t="s">
        <v>250</v>
      </c>
      <c r="E326">
        <v>84.99</v>
      </c>
      <c r="F326" t="s">
        <v>194</v>
      </c>
      <c r="G326">
        <v>4</v>
      </c>
      <c r="H326">
        <v>0</v>
      </c>
      <c r="I326" t="s">
        <v>82</v>
      </c>
    </row>
    <row r="327" spans="1:9" x14ac:dyDescent="0.25">
      <c r="A327">
        <v>21</v>
      </c>
      <c r="B327" t="s">
        <v>209</v>
      </c>
      <c r="D327" t="s">
        <v>190</v>
      </c>
      <c r="E327">
        <v>109.99</v>
      </c>
      <c r="F327" t="s">
        <v>193</v>
      </c>
      <c r="G327">
        <v>2</v>
      </c>
      <c r="H327">
        <v>0</v>
      </c>
      <c r="I327" t="s">
        <v>84</v>
      </c>
    </row>
    <row r="328" spans="1:9" x14ac:dyDescent="0.25">
      <c r="A328">
        <v>21</v>
      </c>
      <c r="B328" t="s">
        <v>261</v>
      </c>
      <c r="D328" t="s">
        <v>250</v>
      </c>
      <c r="E328">
        <v>77.989999999999995</v>
      </c>
      <c r="F328" t="s">
        <v>194</v>
      </c>
      <c r="G328">
        <v>4</v>
      </c>
      <c r="H328">
        <v>1</v>
      </c>
      <c r="I328" t="s">
        <v>360</v>
      </c>
    </row>
    <row r="329" spans="1:9" x14ac:dyDescent="0.25">
      <c r="A329">
        <v>21</v>
      </c>
      <c r="B329" t="s">
        <v>239</v>
      </c>
      <c r="D329" t="s">
        <v>66</v>
      </c>
      <c r="E329">
        <v>241.99</v>
      </c>
      <c r="F329" t="s">
        <v>195</v>
      </c>
      <c r="G329">
        <v>2</v>
      </c>
      <c r="H329">
        <v>1</v>
      </c>
      <c r="I329" t="s">
        <v>317</v>
      </c>
    </row>
    <row r="330" spans="1:9" x14ac:dyDescent="0.25">
      <c r="A330">
        <v>21</v>
      </c>
      <c r="B330" t="s">
        <v>274</v>
      </c>
      <c r="D330" t="s">
        <v>250</v>
      </c>
      <c r="E330">
        <v>92.99</v>
      </c>
      <c r="F330" t="s">
        <v>193</v>
      </c>
      <c r="G330">
        <v>2</v>
      </c>
      <c r="H330">
        <v>1</v>
      </c>
      <c r="I330" t="s">
        <v>85</v>
      </c>
    </row>
    <row r="331" spans="1:9" x14ac:dyDescent="0.25">
      <c r="A331">
        <v>21</v>
      </c>
      <c r="B331" t="s">
        <v>247</v>
      </c>
      <c r="D331" t="s">
        <v>190</v>
      </c>
      <c r="E331">
        <v>115.99</v>
      </c>
      <c r="F331" t="s">
        <v>194</v>
      </c>
      <c r="G331">
        <v>4</v>
      </c>
      <c r="H331">
        <v>1</v>
      </c>
      <c r="I331" t="s">
        <v>422</v>
      </c>
    </row>
    <row r="332" spans="1:9" x14ac:dyDescent="0.25">
      <c r="A332">
        <v>21</v>
      </c>
      <c r="B332" t="s">
        <v>268</v>
      </c>
      <c r="D332" t="s">
        <v>250</v>
      </c>
      <c r="E332">
        <v>84.99</v>
      </c>
      <c r="F332" t="s">
        <v>193</v>
      </c>
      <c r="G332">
        <v>2</v>
      </c>
      <c r="H332">
        <v>0</v>
      </c>
      <c r="I332" t="s">
        <v>85</v>
      </c>
    </row>
    <row r="333" spans="1:9" x14ac:dyDescent="0.25">
      <c r="A333">
        <v>21</v>
      </c>
      <c r="B333" t="s">
        <v>228</v>
      </c>
      <c r="D333" t="s">
        <v>189</v>
      </c>
      <c r="E333">
        <v>161.99</v>
      </c>
      <c r="F333" t="s">
        <v>194</v>
      </c>
      <c r="G333">
        <v>4</v>
      </c>
      <c r="H333">
        <v>0</v>
      </c>
      <c r="I333" t="s">
        <v>86</v>
      </c>
    </row>
    <row r="334" spans="1:9" x14ac:dyDescent="0.25">
      <c r="A334">
        <v>21</v>
      </c>
      <c r="B334" t="s">
        <v>212</v>
      </c>
      <c r="D334" t="s">
        <v>189</v>
      </c>
      <c r="E334">
        <v>158.99</v>
      </c>
      <c r="F334" t="s">
        <v>193</v>
      </c>
      <c r="G334">
        <v>2</v>
      </c>
      <c r="H334">
        <v>0</v>
      </c>
      <c r="I334" t="s">
        <v>88</v>
      </c>
    </row>
    <row r="335" spans="1:9" x14ac:dyDescent="0.25">
      <c r="A335">
        <v>21</v>
      </c>
      <c r="B335" t="s">
        <v>214</v>
      </c>
      <c r="D335" t="s">
        <v>66</v>
      </c>
      <c r="E335">
        <v>269.99</v>
      </c>
      <c r="F335" t="s">
        <v>195</v>
      </c>
      <c r="G335">
        <v>2</v>
      </c>
      <c r="H335">
        <v>1</v>
      </c>
      <c r="I335" t="s">
        <v>85</v>
      </c>
    </row>
    <row r="336" spans="1:9" x14ac:dyDescent="0.25">
      <c r="A336">
        <v>21</v>
      </c>
      <c r="B336" t="s">
        <v>241</v>
      </c>
      <c r="D336" t="s">
        <v>66</v>
      </c>
      <c r="E336">
        <v>235.99</v>
      </c>
      <c r="F336" t="s">
        <v>193</v>
      </c>
      <c r="G336">
        <v>2</v>
      </c>
      <c r="H336">
        <v>0</v>
      </c>
      <c r="I336" t="s">
        <v>485</v>
      </c>
    </row>
    <row r="337" spans="1:9" x14ac:dyDescent="0.25">
      <c r="A337">
        <v>21</v>
      </c>
      <c r="B337" t="s">
        <v>277</v>
      </c>
      <c r="D337" t="s">
        <v>190</v>
      </c>
      <c r="E337">
        <v>100.99</v>
      </c>
      <c r="F337" t="s">
        <v>196</v>
      </c>
      <c r="G337">
        <v>2</v>
      </c>
      <c r="H337">
        <v>1</v>
      </c>
      <c r="I337" t="s">
        <v>338</v>
      </c>
    </row>
    <row r="338" spans="1:9" x14ac:dyDescent="0.25">
      <c r="A338">
        <v>21</v>
      </c>
      <c r="B338" t="s">
        <v>204</v>
      </c>
      <c r="D338" t="s">
        <v>66</v>
      </c>
      <c r="E338">
        <v>263.99</v>
      </c>
      <c r="F338" t="s">
        <v>193</v>
      </c>
      <c r="G338">
        <v>2</v>
      </c>
      <c r="H338">
        <v>1</v>
      </c>
      <c r="I338" t="s">
        <v>87</v>
      </c>
    </row>
    <row r="339" spans="1:9" x14ac:dyDescent="0.25">
      <c r="A339">
        <v>21</v>
      </c>
      <c r="B339" t="s">
        <v>282</v>
      </c>
      <c r="D339" t="s">
        <v>250</v>
      </c>
      <c r="E339">
        <v>83.99</v>
      </c>
      <c r="F339" t="s">
        <v>196</v>
      </c>
      <c r="G339">
        <v>2</v>
      </c>
      <c r="H339">
        <v>1</v>
      </c>
      <c r="I339" t="s">
        <v>375</v>
      </c>
    </row>
    <row r="340" spans="1:9" x14ac:dyDescent="0.25">
      <c r="A340">
        <v>21</v>
      </c>
      <c r="B340" t="s">
        <v>255</v>
      </c>
      <c r="D340" t="s">
        <v>250</v>
      </c>
      <c r="E340">
        <v>80.989999999999995</v>
      </c>
      <c r="F340" t="s">
        <v>195</v>
      </c>
      <c r="G340">
        <v>2</v>
      </c>
      <c r="H340">
        <v>1</v>
      </c>
      <c r="I340" t="s">
        <v>486</v>
      </c>
    </row>
    <row r="341" spans="1:9" x14ac:dyDescent="0.25">
      <c r="A341">
        <v>21</v>
      </c>
      <c r="B341" t="s">
        <v>226</v>
      </c>
      <c r="D341" t="s">
        <v>189</v>
      </c>
      <c r="E341">
        <v>129.99</v>
      </c>
      <c r="F341" t="s">
        <v>195</v>
      </c>
      <c r="G341">
        <v>2</v>
      </c>
      <c r="H341">
        <v>0</v>
      </c>
      <c r="I341" t="s">
        <v>487</v>
      </c>
    </row>
    <row r="342" spans="1:9" x14ac:dyDescent="0.25">
      <c r="A342">
        <v>22</v>
      </c>
      <c r="B342" t="s">
        <v>245</v>
      </c>
      <c r="D342" t="s">
        <v>189</v>
      </c>
      <c r="E342">
        <v>147.99</v>
      </c>
      <c r="F342" t="s">
        <v>195</v>
      </c>
      <c r="G342">
        <v>2</v>
      </c>
      <c r="H342">
        <v>0</v>
      </c>
      <c r="I342" t="s">
        <v>88</v>
      </c>
    </row>
    <row r="343" spans="1:9" x14ac:dyDescent="0.25">
      <c r="A343">
        <v>22</v>
      </c>
      <c r="B343" t="s">
        <v>278</v>
      </c>
      <c r="D343" t="s">
        <v>189</v>
      </c>
      <c r="E343">
        <v>146.99</v>
      </c>
      <c r="F343" t="s">
        <v>196</v>
      </c>
      <c r="G343">
        <v>2</v>
      </c>
      <c r="H343">
        <v>0</v>
      </c>
      <c r="I343" t="s">
        <v>488</v>
      </c>
    </row>
    <row r="344" spans="1:9" x14ac:dyDescent="0.25">
      <c r="A344">
        <v>22</v>
      </c>
      <c r="B344" t="s">
        <v>277</v>
      </c>
      <c r="D344" t="s">
        <v>190</v>
      </c>
      <c r="E344">
        <v>107.99</v>
      </c>
      <c r="F344" t="s">
        <v>196</v>
      </c>
      <c r="G344">
        <v>2</v>
      </c>
      <c r="H344">
        <v>1</v>
      </c>
      <c r="I344" t="s">
        <v>340</v>
      </c>
    </row>
    <row r="345" spans="1:9" x14ac:dyDescent="0.25">
      <c r="A345">
        <v>22</v>
      </c>
      <c r="B345" t="s">
        <v>215</v>
      </c>
      <c r="D345" t="s">
        <v>189</v>
      </c>
      <c r="E345">
        <v>145.99</v>
      </c>
      <c r="F345" t="s">
        <v>193</v>
      </c>
      <c r="G345">
        <v>2</v>
      </c>
      <c r="H345">
        <v>0</v>
      </c>
      <c r="I345" t="s">
        <v>489</v>
      </c>
    </row>
    <row r="346" spans="1:9" x14ac:dyDescent="0.25">
      <c r="A346">
        <v>22</v>
      </c>
      <c r="B346" t="s">
        <v>270</v>
      </c>
      <c r="D346" t="s">
        <v>250</v>
      </c>
      <c r="E346">
        <v>98.99</v>
      </c>
      <c r="F346" t="s">
        <v>193</v>
      </c>
      <c r="G346">
        <v>2</v>
      </c>
      <c r="H346">
        <v>0</v>
      </c>
      <c r="I346" t="s">
        <v>86</v>
      </c>
    </row>
    <row r="347" spans="1:9" x14ac:dyDescent="0.25">
      <c r="A347">
        <v>22</v>
      </c>
      <c r="B347" t="s">
        <v>235</v>
      </c>
      <c r="D347" t="s">
        <v>66</v>
      </c>
      <c r="E347">
        <v>232.99</v>
      </c>
      <c r="F347" t="s">
        <v>194</v>
      </c>
      <c r="G347">
        <v>4</v>
      </c>
      <c r="H347">
        <v>0</v>
      </c>
      <c r="I347" t="s">
        <v>86</v>
      </c>
    </row>
    <row r="348" spans="1:9" x14ac:dyDescent="0.25">
      <c r="A348">
        <v>22</v>
      </c>
      <c r="B348" t="s">
        <v>214</v>
      </c>
      <c r="D348" t="s">
        <v>66</v>
      </c>
      <c r="E348">
        <v>246.99</v>
      </c>
      <c r="F348" t="s">
        <v>195</v>
      </c>
      <c r="G348">
        <v>2</v>
      </c>
      <c r="H348">
        <v>0</v>
      </c>
      <c r="I348" t="s">
        <v>82</v>
      </c>
    </row>
    <row r="349" spans="1:9" x14ac:dyDescent="0.25">
      <c r="A349">
        <v>22</v>
      </c>
      <c r="B349" t="s">
        <v>241</v>
      </c>
      <c r="D349" t="s">
        <v>66</v>
      </c>
      <c r="E349">
        <v>233.99</v>
      </c>
      <c r="F349" t="s">
        <v>193</v>
      </c>
      <c r="G349">
        <v>2</v>
      </c>
      <c r="H349">
        <v>1</v>
      </c>
      <c r="I349" t="s">
        <v>86</v>
      </c>
    </row>
    <row r="350" spans="1:9" x14ac:dyDescent="0.25">
      <c r="A350">
        <v>22</v>
      </c>
      <c r="B350" t="s">
        <v>244</v>
      </c>
      <c r="D350" t="s">
        <v>190</v>
      </c>
      <c r="E350">
        <v>107.99</v>
      </c>
      <c r="F350" t="s">
        <v>195</v>
      </c>
      <c r="G350">
        <v>2</v>
      </c>
      <c r="H350">
        <v>1</v>
      </c>
      <c r="I350" t="s">
        <v>390</v>
      </c>
    </row>
    <row r="351" spans="1:9" x14ac:dyDescent="0.25">
      <c r="A351">
        <v>22</v>
      </c>
      <c r="B351" t="s">
        <v>275</v>
      </c>
      <c r="D351" t="s">
        <v>250</v>
      </c>
      <c r="E351">
        <v>96.99</v>
      </c>
      <c r="F351" t="s">
        <v>194</v>
      </c>
      <c r="G351">
        <v>4</v>
      </c>
      <c r="H351">
        <v>0</v>
      </c>
      <c r="I351" t="s">
        <v>307</v>
      </c>
    </row>
    <row r="352" spans="1:9" x14ac:dyDescent="0.25">
      <c r="A352">
        <v>22</v>
      </c>
      <c r="B352" t="s">
        <v>203</v>
      </c>
      <c r="D352" t="s">
        <v>190</v>
      </c>
      <c r="E352">
        <v>116.99</v>
      </c>
      <c r="F352" t="s">
        <v>195</v>
      </c>
      <c r="G352">
        <v>2</v>
      </c>
      <c r="H352">
        <v>0</v>
      </c>
      <c r="I352" t="s">
        <v>301</v>
      </c>
    </row>
    <row r="353" spans="1:9" x14ac:dyDescent="0.25">
      <c r="A353">
        <v>22</v>
      </c>
      <c r="B353" t="s">
        <v>263</v>
      </c>
      <c r="D353" t="s">
        <v>190</v>
      </c>
      <c r="E353">
        <v>121.99</v>
      </c>
      <c r="F353" t="s">
        <v>196</v>
      </c>
      <c r="G353">
        <v>2</v>
      </c>
      <c r="H353">
        <v>1</v>
      </c>
      <c r="I353" t="s">
        <v>82</v>
      </c>
    </row>
    <row r="354" spans="1:9" x14ac:dyDescent="0.25">
      <c r="A354">
        <v>22</v>
      </c>
      <c r="B354" t="s">
        <v>211</v>
      </c>
      <c r="D354" t="s">
        <v>189</v>
      </c>
      <c r="E354">
        <v>147.99</v>
      </c>
      <c r="F354" t="s">
        <v>195</v>
      </c>
      <c r="G354">
        <v>2</v>
      </c>
      <c r="H354">
        <v>1</v>
      </c>
      <c r="I354" t="s">
        <v>296</v>
      </c>
    </row>
    <row r="355" spans="1:9" x14ac:dyDescent="0.25">
      <c r="A355">
        <v>22</v>
      </c>
      <c r="B355" t="s">
        <v>230</v>
      </c>
      <c r="D355" t="s">
        <v>189</v>
      </c>
      <c r="E355">
        <v>153.99</v>
      </c>
      <c r="F355" t="s">
        <v>194</v>
      </c>
      <c r="G355">
        <v>4</v>
      </c>
      <c r="H355">
        <v>1</v>
      </c>
      <c r="I355" t="s">
        <v>477</v>
      </c>
    </row>
    <row r="356" spans="1:9" x14ac:dyDescent="0.25">
      <c r="A356">
        <v>22</v>
      </c>
      <c r="B356" t="s">
        <v>210</v>
      </c>
      <c r="D356" t="s">
        <v>189</v>
      </c>
      <c r="E356">
        <v>131.99</v>
      </c>
      <c r="F356" t="s">
        <v>194</v>
      </c>
      <c r="G356">
        <v>4</v>
      </c>
      <c r="H356">
        <v>0</v>
      </c>
      <c r="I356" t="s">
        <v>88</v>
      </c>
    </row>
    <row r="357" spans="1:9" x14ac:dyDescent="0.25">
      <c r="A357">
        <v>22</v>
      </c>
      <c r="B357" t="s">
        <v>245</v>
      </c>
      <c r="D357" t="s">
        <v>189</v>
      </c>
      <c r="E357">
        <v>166.99</v>
      </c>
      <c r="F357" t="s">
        <v>195</v>
      </c>
      <c r="G357">
        <v>2</v>
      </c>
      <c r="H357">
        <v>1</v>
      </c>
      <c r="I357" t="s">
        <v>490</v>
      </c>
    </row>
    <row r="358" spans="1:9" x14ac:dyDescent="0.25">
      <c r="A358">
        <v>22</v>
      </c>
      <c r="B358" t="s">
        <v>211</v>
      </c>
      <c r="D358" t="s">
        <v>189</v>
      </c>
      <c r="E358">
        <v>139.99</v>
      </c>
      <c r="F358" t="s">
        <v>195</v>
      </c>
      <c r="G358">
        <v>2</v>
      </c>
      <c r="H358">
        <v>0</v>
      </c>
      <c r="I358" t="s">
        <v>85</v>
      </c>
    </row>
    <row r="359" spans="1:9" x14ac:dyDescent="0.25">
      <c r="A359">
        <v>22</v>
      </c>
      <c r="B359" t="s">
        <v>254</v>
      </c>
      <c r="D359" t="s">
        <v>66</v>
      </c>
      <c r="E359">
        <v>252.99</v>
      </c>
      <c r="F359" t="s">
        <v>196</v>
      </c>
      <c r="G359">
        <v>2</v>
      </c>
      <c r="H359">
        <v>1</v>
      </c>
      <c r="I359" t="s">
        <v>86</v>
      </c>
    </row>
    <row r="360" spans="1:9" x14ac:dyDescent="0.25">
      <c r="A360">
        <v>23</v>
      </c>
      <c r="B360" t="s">
        <v>213</v>
      </c>
      <c r="D360" t="s">
        <v>190</v>
      </c>
      <c r="E360">
        <v>111.99</v>
      </c>
      <c r="F360" t="s">
        <v>195</v>
      </c>
      <c r="G360">
        <v>2</v>
      </c>
      <c r="H360">
        <v>0</v>
      </c>
      <c r="I360" t="s">
        <v>83</v>
      </c>
    </row>
    <row r="361" spans="1:9" x14ac:dyDescent="0.25">
      <c r="A361">
        <v>23</v>
      </c>
      <c r="B361" t="s">
        <v>203</v>
      </c>
      <c r="D361" t="s">
        <v>190</v>
      </c>
      <c r="E361">
        <v>109.99</v>
      </c>
      <c r="F361" t="s">
        <v>195</v>
      </c>
      <c r="G361">
        <v>2</v>
      </c>
      <c r="H361">
        <v>0</v>
      </c>
      <c r="I361" t="s">
        <v>421</v>
      </c>
    </row>
    <row r="362" spans="1:9" x14ac:dyDescent="0.25">
      <c r="A362">
        <v>23</v>
      </c>
      <c r="B362" t="s">
        <v>276</v>
      </c>
      <c r="D362" t="s">
        <v>250</v>
      </c>
      <c r="E362">
        <v>92.99</v>
      </c>
      <c r="F362" t="s">
        <v>196</v>
      </c>
      <c r="G362">
        <v>2</v>
      </c>
      <c r="H362">
        <v>0</v>
      </c>
      <c r="I362" t="s">
        <v>86</v>
      </c>
    </row>
    <row r="363" spans="1:9" x14ac:dyDescent="0.25">
      <c r="A363">
        <v>23</v>
      </c>
      <c r="B363" t="s">
        <v>211</v>
      </c>
      <c r="D363" t="s">
        <v>189</v>
      </c>
      <c r="E363">
        <v>157.99</v>
      </c>
      <c r="F363" t="s">
        <v>195</v>
      </c>
      <c r="G363">
        <v>2</v>
      </c>
      <c r="H363">
        <v>1</v>
      </c>
      <c r="I363" t="s">
        <v>83</v>
      </c>
    </row>
    <row r="364" spans="1:9" x14ac:dyDescent="0.25">
      <c r="A364">
        <v>23</v>
      </c>
      <c r="B364" t="s">
        <v>276</v>
      </c>
      <c r="D364" t="s">
        <v>250</v>
      </c>
      <c r="E364">
        <v>60.99</v>
      </c>
      <c r="F364" t="s">
        <v>196</v>
      </c>
      <c r="G364">
        <v>2</v>
      </c>
      <c r="H364">
        <v>0</v>
      </c>
      <c r="I364" t="s">
        <v>491</v>
      </c>
    </row>
    <row r="365" spans="1:9" x14ac:dyDescent="0.25">
      <c r="A365">
        <v>23</v>
      </c>
      <c r="B365" t="s">
        <v>203</v>
      </c>
      <c r="D365" t="s">
        <v>190</v>
      </c>
      <c r="E365">
        <v>117.99</v>
      </c>
      <c r="F365" t="s">
        <v>195</v>
      </c>
      <c r="G365">
        <v>2</v>
      </c>
      <c r="H365">
        <v>0</v>
      </c>
      <c r="I365" t="s">
        <v>85</v>
      </c>
    </row>
    <row r="366" spans="1:9" x14ac:dyDescent="0.25">
      <c r="A366">
        <v>23</v>
      </c>
      <c r="B366" t="s">
        <v>241</v>
      </c>
      <c r="D366" t="s">
        <v>66</v>
      </c>
      <c r="E366">
        <v>262.99</v>
      </c>
      <c r="F366" t="s">
        <v>193</v>
      </c>
      <c r="G366">
        <v>2</v>
      </c>
      <c r="H366">
        <v>1</v>
      </c>
      <c r="I366" t="s">
        <v>492</v>
      </c>
    </row>
    <row r="367" spans="1:9" x14ac:dyDescent="0.25">
      <c r="A367">
        <v>23</v>
      </c>
      <c r="B367" t="s">
        <v>209</v>
      </c>
      <c r="D367" t="s">
        <v>190</v>
      </c>
      <c r="E367">
        <v>109.99</v>
      </c>
      <c r="F367" t="s">
        <v>193</v>
      </c>
      <c r="G367">
        <v>2</v>
      </c>
      <c r="H367">
        <v>1</v>
      </c>
      <c r="I367" t="s">
        <v>82</v>
      </c>
    </row>
    <row r="368" spans="1:9" x14ac:dyDescent="0.25">
      <c r="A368">
        <v>23</v>
      </c>
      <c r="B368" t="s">
        <v>233</v>
      </c>
      <c r="D368" t="s">
        <v>66</v>
      </c>
      <c r="E368">
        <v>265.99</v>
      </c>
      <c r="F368" t="s">
        <v>194</v>
      </c>
      <c r="G368">
        <v>4</v>
      </c>
      <c r="H368">
        <v>0</v>
      </c>
      <c r="I368" t="s">
        <v>328</v>
      </c>
    </row>
    <row r="369" spans="1:9" x14ac:dyDescent="0.25">
      <c r="A369">
        <v>23</v>
      </c>
      <c r="B369" t="s">
        <v>214</v>
      </c>
      <c r="D369" t="s">
        <v>66</v>
      </c>
      <c r="E369">
        <v>247.99</v>
      </c>
      <c r="F369" t="s">
        <v>195</v>
      </c>
      <c r="G369">
        <v>2</v>
      </c>
      <c r="H369">
        <v>0</v>
      </c>
      <c r="I369" t="s">
        <v>288</v>
      </c>
    </row>
    <row r="370" spans="1:9" x14ac:dyDescent="0.25">
      <c r="A370">
        <v>23</v>
      </c>
      <c r="B370" t="s">
        <v>260</v>
      </c>
      <c r="D370" t="s">
        <v>250</v>
      </c>
      <c r="E370">
        <v>80.989999999999995</v>
      </c>
      <c r="F370" t="s">
        <v>193</v>
      </c>
      <c r="G370">
        <v>2</v>
      </c>
      <c r="H370">
        <v>0</v>
      </c>
      <c r="I370" t="s">
        <v>83</v>
      </c>
    </row>
    <row r="371" spans="1:9" x14ac:dyDescent="0.25">
      <c r="A371">
        <v>23</v>
      </c>
      <c r="B371" t="s">
        <v>221</v>
      </c>
      <c r="D371" t="s">
        <v>66</v>
      </c>
      <c r="E371">
        <v>247.99</v>
      </c>
      <c r="F371" t="s">
        <v>195</v>
      </c>
      <c r="G371">
        <v>2</v>
      </c>
      <c r="H371">
        <v>1</v>
      </c>
      <c r="I371" t="s">
        <v>317</v>
      </c>
    </row>
    <row r="372" spans="1:9" x14ac:dyDescent="0.25">
      <c r="A372">
        <v>23</v>
      </c>
      <c r="B372" t="s">
        <v>240</v>
      </c>
      <c r="D372" t="s">
        <v>66</v>
      </c>
      <c r="E372">
        <v>250.99</v>
      </c>
      <c r="F372" t="s">
        <v>194</v>
      </c>
      <c r="G372">
        <v>4</v>
      </c>
      <c r="H372">
        <v>0</v>
      </c>
      <c r="I372" t="s">
        <v>86</v>
      </c>
    </row>
    <row r="373" spans="1:9" x14ac:dyDescent="0.25">
      <c r="A373">
        <v>23</v>
      </c>
      <c r="B373" t="s">
        <v>277</v>
      </c>
      <c r="D373" t="s">
        <v>190</v>
      </c>
      <c r="E373">
        <v>129.99</v>
      </c>
      <c r="F373" t="s">
        <v>196</v>
      </c>
      <c r="G373">
        <v>2</v>
      </c>
      <c r="H373">
        <v>0</v>
      </c>
      <c r="I373" t="s">
        <v>88</v>
      </c>
    </row>
    <row r="374" spans="1:9" x14ac:dyDescent="0.25">
      <c r="A374">
        <v>23</v>
      </c>
      <c r="B374" t="s">
        <v>229</v>
      </c>
      <c r="D374" t="s">
        <v>66</v>
      </c>
      <c r="E374">
        <v>266.99</v>
      </c>
      <c r="F374" t="s">
        <v>194</v>
      </c>
      <c r="G374">
        <v>4</v>
      </c>
      <c r="H374">
        <v>0</v>
      </c>
      <c r="I374" t="s">
        <v>87</v>
      </c>
    </row>
    <row r="375" spans="1:9" x14ac:dyDescent="0.25">
      <c r="A375">
        <v>23</v>
      </c>
      <c r="B375" t="s">
        <v>247</v>
      </c>
      <c r="D375" t="s">
        <v>190</v>
      </c>
      <c r="E375">
        <v>117.99</v>
      </c>
      <c r="F375" t="s">
        <v>194</v>
      </c>
      <c r="G375">
        <v>4</v>
      </c>
      <c r="H375">
        <v>1</v>
      </c>
      <c r="I375" t="s">
        <v>323</v>
      </c>
    </row>
    <row r="376" spans="1:9" x14ac:dyDescent="0.25">
      <c r="A376">
        <v>23</v>
      </c>
      <c r="B376" t="s">
        <v>211</v>
      </c>
      <c r="D376" t="s">
        <v>189</v>
      </c>
      <c r="E376">
        <v>142.99</v>
      </c>
      <c r="F376" t="s">
        <v>195</v>
      </c>
      <c r="G376">
        <v>2</v>
      </c>
      <c r="H376">
        <v>0</v>
      </c>
      <c r="I376" t="s">
        <v>338</v>
      </c>
    </row>
    <row r="377" spans="1:9" x14ac:dyDescent="0.25">
      <c r="A377">
        <v>23</v>
      </c>
      <c r="B377" t="s">
        <v>256</v>
      </c>
      <c r="D377" t="s">
        <v>250</v>
      </c>
      <c r="E377">
        <v>91.99</v>
      </c>
      <c r="F377" t="s">
        <v>194</v>
      </c>
      <c r="G377">
        <v>4</v>
      </c>
      <c r="H377">
        <v>1</v>
      </c>
      <c r="I377" t="s">
        <v>86</v>
      </c>
    </row>
    <row r="378" spans="1:9" x14ac:dyDescent="0.25">
      <c r="A378">
        <v>23</v>
      </c>
      <c r="B378" t="s">
        <v>219</v>
      </c>
      <c r="D378" t="s">
        <v>189</v>
      </c>
      <c r="E378">
        <v>152.99</v>
      </c>
      <c r="F378" t="s">
        <v>193</v>
      </c>
      <c r="G378">
        <v>2</v>
      </c>
      <c r="H378">
        <v>1</v>
      </c>
      <c r="I378" t="s">
        <v>384</v>
      </c>
    </row>
    <row r="379" spans="1:9" x14ac:dyDescent="0.25">
      <c r="A379">
        <v>23</v>
      </c>
      <c r="B379" t="s">
        <v>246</v>
      </c>
      <c r="D379" t="s">
        <v>190</v>
      </c>
      <c r="E379">
        <v>136.99</v>
      </c>
      <c r="F379" t="s">
        <v>193</v>
      </c>
      <c r="G379">
        <v>2</v>
      </c>
      <c r="H379">
        <v>0</v>
      </c>
      <c r="I379" t="s">
        <v>288</v>
      </c>
    </row>
    <row r="380" spans="1:9" x14ac:dyDescent="0.25">
      <c r="A380">
        <v>24</v>
      </c>
      <c r="B380" t="s">
        <v>244</v>
      </c>
      <c r="D380" t="s">
        <v>190</v>
      </c>
      <c r="E380">
        <v>106.99</v>
      </c>
      <c r="F380" t="s">
        <v>195</v>
      </c>
      <c r="G380">
        <v>2</v>
      </c>
      <c r="H380">
        <v>0</v>
      </c>
      <c r="I380" t="s">
        <v>83</v>
      </c>
    </row>
    <row r="381" spans="1:9" x14ac:dyDescent="0.25">
      <c r="A381">
        <v>24</v>
      </c>
      <c r="B381" t="s">
        <v>262</v>
      </c>
      <c r="D381" t="s">
        <v>66</v>
      </c>
      <c r="E381">
        <v>265.99</v>
      </c>
      <c r="F381" t="s">
        <v>196</v>
      </c>
      <c r="G381">
        <v>2</v>
      </c>
      <c r="H381">
        <v>1</v>
      </c>
      <c r="I381" t="s">
        <v>86</v>
      </c>
    </row>
    <row r="382" spans="1:9" x14ac:dyDescent="0.25">
      <c r="A382">
        <v>24</v>
      </c>
      <c r="B382" t="s">
        <v>255</v>
      </c>
      <c r="D382" t="s">
        <v>250</v>
      </c>
      <c r="E382">
        <v>72.989999999999995</v>
      </c>
      <c r="F382" t="s">
        <v>195</v>
      </c>
      <c r="G382">
        <v>2</v>
      </c>
      <c r="H382">
        <v>0</v>
      </c>
      <c r="I382" t="s">
        <v>88</v>
      </c>
    </row>
    <row r="383" spans="1:9" x14ac:dyDescent="0.25">
      <c r="A383">
        <v>24</v>
      </c>
      <c r="B383" t="s">
        <v>282</v>
      </c>
      <c r="D383" t="s">
        <v>250</v>
      </c>
      <c r="E383">
        <v>69.989999999999995</v>
      </c>
      <c r="F383" t="s">
        <v>196</v>
      </c>
      <c r="G383">
        <v>2</v>
      </c>
      <c r="H383">
        <v>0</v>
      </c>
      <c r="I383" t="s">
        <v>336</v>
      </c>
    </row>
    <row r="384" spans="1:9" x14ac:dyDescent="0.25">
      <c r="A384">
        <v>24</v>
      </c>
      <c r="B384" t="s">
        <v>245</v>
      </c>
      <c r="D384" t="s">
        <v>189</v>
      </c>
      <c r="E384">
        <v>150.99</v>
      </c>
      <c r="F384" t="s">
        <v>195</v>
      </c>
      <c r="G384">
        <v>2</v>
      </c>
      <c r="H384">
        <v>0</v>
      </c>
      <c r="I384" t="s">
        <v>353</v>
      </c>
    </row>
    <row r="385" spans="1:9" x14ac:dyDescent="0.25">
      <c r="A385">
        <v>24</v>
      </c>
      <c r="B385" t="s">
        <v>204</v>
      </c>
      <c r="D385" t="s">
        <v>66</v>
      </c>
      <c r="E385">
        <v>230.99</v>
      </c>
      <c r="F385" t="s">
        <v>193</v>
      </c>
      <c r="G385">
        <v>2</v>
      </c>
      <c r="H385">
        <v>1</v>
      </c>
      <c r="I385" t="s">
        <v>362</v>
      </c>
    </row>
    <row r="386" spans="1:9" x14ac:dyDescent="0.25">
      <c r="A386">
        <v>24</v>
      </c>
      <c r="B386" t="s">
        <v>225</v>
      </c>
      <c r="D386" t="s">
        <v>190</v>
      </c>
      <c r="E386">
        <v>132.99</v>
      </c>
      <c r="F386" t="s">
        <v>195</v>
      </c>
      <c r="G386">
        <v>2</v>
      </c>
      <c r="H386">
        <v>1</v>
      </c>
      <c r="I386" t="s">
        <v>83</v>
      </c>
    </row>
    <row r="387" spans="1:9" x14ac:dyDescent="0.25">
      <c r="A387">
        <v>24</v>
      </c>
      <c r="B387" t="s">
        <v>260</v>
      </c>
      <c r="D387" t="s">
        <v>250</v>
      </c>
      <c r="E387">
        <v>64.989999999999995</v>
      </c>
      <c r="F387" t="s">
        <v>193</v>
      </c>
      <c r="G387">
        <v>2</v>
      </c>
      <c r="H387">
        <v>1</v>
      </c>
      <c r="I387" t="s">
        <v>87</v>
      </c>
    </row>
    <row r="388" spans="1:9" x14ac:dyDescent="0.25">
      <c r="A388">
        <v>24</v>
      </c>
      <c r="B388" t="s">
        <v>239</v>
      </c>
      <c r="D388" t="s">
        <v>66</v>
      </c>
      <c r="E388">
        <v>255.99</v>
      </c>
      <c r="F388" t="s">
        <v>195</v>
      </c>
      <c r="G388">
        <v>2</v>
      </c>
      <c r="H388">
        <v>1</v>
      </c>
      <c r="I388" t="s">
        <v>396</v>
      </c>
    </row>
    <row r="389" spans="1:9" x14ac:dyDescent="0.25">
      <c r="A389">
        <v>24</v>
      </c>
      <c r="B389" t="s">
        <v>245</v>
      </c>
      <c r="D389" t="s">
        <v>189</v>
      </c>
      <c r="E389">
        <v>157.99</v>
      </c>
      <c r="F389" t="s">
        <v>195</v>
      </c>
      <c r="G389">
        <v>2</v>
      </c>
      <c r="H389">
        <v>0</v>
      </c>
      <c r="I389" t="s">
        <v>306</v>
      </c>
    </row>
    <row r="390" spans="1:9" x14ac:dyDescent="0.25">
      <c r="A390">
        <v>25</v>
      </c>
      <c r="B390" t="s">
        <v>257</v>
      </c>
      <c r="D390" t="s">
        <v>250</v>
      </c>
      <c r="E390">
        <v>82.99</v>
      </c>
      <c r="F390" t="s">
        <v>195</v>
      </c>
      <c r="G390">
        <v>2</v>
      </c>
      <c r="H390">
        <v>1</v>
      </c>
      <c r="I390" t="s">
        <v>463</v>
      </c>
    </row>
    <row r="391" spans="1:9" x14ac:dyDescent="0.25">
      <c r="A391">
        <v>25</v>
      </c>
      <c r="B391" t="s">
        <v>253</v>
      </c>
      <c r="D391" t="s">
        <v>250</v>
      </c>
      <c r="E391">
        <v>85.99</v>
      </c>
      <c r="F391" t="s">
        <v>194</v>
      </c>
      <c r="G391">
        <v>4</v>
      </c>
      <c r="H391">
        <v>0</v>
      </c>
      <c r="I391" t="s">
        <v>84</v>
      </c>
    </row>
    <row r="392" spans="1:9" x14ac:dyDescent="0.25">
      <c r="A392">
        <v>25</v>
      </c>
      <c r="B392" t="s">
        <v>224</v>
      </c>
      <c r="D392" t="s">
        <v>190</v>
      </c>
      <c r="E392">
        <v>113.99</v>
      </c>
      <c r="F392" t="s">
        <v>194</v>
      </c>
      <c r="G392">
        <v>4</v>
      </c>
      <c r="H392">
        <v>1</v>
      </c>
      <c r="I392" t="s">
        <v>302</v>
      </c>
    </row>
    <row r="393" spans="1:9" x14ac:dyDescent="0.25">
      <c r="A393">
        <v>25</v>
      </c>
      <c r="B393" t="s">
        <v>221</v>
      </c>
      <c r="D393" t="s">
        <v>66</v>
      </c>
      <c r="E393">
        <v>249.99</v>
      </c>
      <c r="F393" t="s">
        <v>195</v>
      </c>
      <c r="G393">
        <v>2</v>
      </c>
      <c r="H393">
        <v>1</v>
      </c>
      <c r="I393" t="s">
        <v>493</v>
      </c>
    </row>
    <row r="394" spans="1:9" x14ac:dyDescent="0.25">
      <c r="A394">
        <v>25</v>
      </c>
      <c r="B394" t="s">
        <v>263</v>
      </c>
      <c r="D394" t="s">
        <v>190</v>
      </c>
      <c r="E394">
        <v>104.99</v>
      </c>
      <c r="F394" t="s">
        <v>196</v>
      </c>
      <c r="G394">
        <v>2</v>
      </c>
      <c r="H394">
        <v>0</v>
      </c>
      <c r="I394" t="s">
        <v>328</v>
      </c>
    </row>
    <row r="395" spans="1:9" x14ac:dyDescent="0.25">
      <c r="A395">
        <v>25</v>
      </c>
      <c r="B395" t="s">
        <v>224</v>
      </c>
      <c r="D395" t="s">
        <v>190</v>
      </c>
      <c r="E395">
        <v>114.99</v>
      </c>
      <c r="F395" t="s">
        <v>194</v>
      </c>
      <c r="G395">
        <v>4</v>
      </c>
      <c r="H395">
        <v>1</v>
      </c>
      <c r="I395" t="s">
        <v>298</v>
      </c>
    </row>
    <row r="396" spans="1:9" x14ac:dyDescent="0.25">
      <c r="A396">
        <v>25</v>
      </c>
      <c r="B396" t="s">
        <v>255</v>
      </c>
      <c r="D396" t="s">
        <v>250</v>
      </c>
      <c r="E396">
        <v>94.99</v>
      </c>
      <c r="F396" t="s">
        <v>195</v>
      </c>
      <c r="G396">
        <v>2</v>
      </c>
      <c r="H396">
        <v>0</v>
      </c>
      <c r="I396" t="s">
        <v>88</v>
      </c>
    </row>
    <row r="397" spans="1:9" x14ac:dyDescent="0.25">
      <c r="A397">
        <v>25</v>
      </c>
      <c r="B397" t="s">
        <v>213</v>
      </c>
      <c r="D397" t="s">
        <v>190</v>
      </c>
      <c r="E397">
        <v>100.99</v>
      </c>
      <c r="F397" t="s">
        <v>195</v>
      </c>
      <c r="G397">
        <v>2</v>
      </c>
      <c r="H397">
        <v>1</v>
      </c>
      <c r="I397" t="s">
        <v>445</v>
      </c>
    </row>
    <row r="398" spans="1:9" x14ac:dyDescent="0.25">
      <c r="A398">
        <v>25</v>
      </c>
      <c r="B398" t="s">
        <v>233</v>
      </c>
      <c r="D398" t="s">
        <v>66</v>
      </c>
      <c r="E398">
        <v>252.99</v>
      </c>
      <c r="F398" t="s">
        <v>194</v>
      </c>
      <c r="G398">
        <v>4</v>
      </c>
      <c r="H398">
        <v>1</v>
      </c>
      <c r="I398" t="s">
        <v>339</v>
      </c>
    </row>
    <row r="399" spans="1:9" x14ac:dyDescent="0.25">
      <c r="A399">
        <v>25</v>
      </c>
      <c r="B399" t="s">
        <v>211</v>
      </c>
      <c r="D399" t="s">
        <v>189</v>
      </c>
      <c r="E399">
        <v>160.99</v>
      </c>
      <c r="F399" t="s">
        <v>195</v>
      </c>
      <c r="G399">
        <v>2</v>
      </c>
      <c r="H399">
        <v>0</v>
      </c>
      <c r="I399" t="s">
        <v>494</v>
      </c>
    </row>
    <row r="400" spans="1:9" x14ac:dyDescent="0.25">
      <c r="A400">
        <v>25</v>
      </c>
      <c r="B400" t="s">
        <v>236</v>
      </c>
      <c r="D400" t="s">
        <v>66</v>
      </c>
      <c r="E400">
        <v>243.99</v>
      </c>
      <c r="F400" t="s">
        <v>193</v>
      </c>
      <c r="G400">
        <v>2</v>
      </c>
      <c r="H400">
        <v>0</v>
      </c>
      <c r="I400" t="s">
        <v>375</v>
      </c>
    </row>
    <row r="401" spans="1:9" x14ac:dyDescent="0.25">
      <c r="A401">
        <v>25</v>
      </c>
      <c r="B401" t="s">
        <v>220</v>
      </c>
      <c r="D401" t="s">
        <v>189</v>
      </c>
      <c r="E401">
        <v>160.99</v>
      </c>
      <c r="F401" t="s">
        <v>193</v>
      </c>
      <c r="G401">
        <v>2</v>
      </c>
      <c r="H401">
        <v>1</v>
      </c>
      <c r="I401" t="s">
        <v>86</v>
      </c>
    </row>
    <row r="402" spans="1:9" x14ac:dyDescent="0.25">
      <c r="A402">
        <v>25</v>
      </c>
      <c r="B402" t="s">
        <v>210</v>
      </c>
      <c r="D402" t="s">
        <v>189</v>
      </c>
      <c r="E402">
        <v>152.99</v>
      </c>
      <c r="F402" t="s">
        <v>194</v>
      </c>
      <c r="G402">
        <v>4</v>
      </c>
      <c r="H402">
        <v>0</v>
      </c>
      <c r="I402" t="s">
        <v>375</v>
      </c>
    </row>
    <row r="403" spans="1:9" x14ac:dyDescent="0.25">
      <c r="A403">
        <v>25</v>
      </c>
      <c r="B403" t="s">
        <v>271</v>
      </c>
      <c r="D403" t="s">
        <v>250</v>
      </c>
      <c r="E403">
        <v>62.99</v>
      </c>
      <c r="F403" t="s">
        <v>193</v>
      </c>
      <c r="G403">
        <v>2</v>
      </c>
      <c r="H403">
        <v>0</v>
      </c>
      <c r="I403" t="s">
        <v>88</v>
      </c>
    </row>
    <row r="404" spans="1:9" x14ac:dyDescent="0.25">
      <c r="A404">
        <v>25</v>
      </c>
      <c r="B404" t="s">
        <v>251</v>
      </c>
      <c r="D404" t="s">
        <v>189</v>
      </c>
      <c r="E404">
        <v>167.99</v>
      </c>
      <c r="F404" t="s">
        <v>196</v>
      </c>
      <c r="G404">
        <v>2</v>
      </c>
      <c r="H404">
        <v>1</v>
      </c>
      <c r="I404" t="s">
        <v>421</v>
      </c>
    </row>
    <row r="405" spans="1:9" x14ac:dyDescent="0.25">
      <c r="A405">
        <v>25</v>
      </c>
      <c r="B405" t="s">
        <v>234</v>
      </c>
      <c r="D405" t="s">
        <v>66</v>
      </c>
      <c r="E405">
        <v>230.99</v>
      </c>
      <c r="F405" t="s">
        <v>195</v>
      </c>
      <c r="G405">
        <v>2</v>
      </c>
      <c r="H405">
        <v>0</v>
      </c>
      <c r="I405" t="s">
        <v>88</v>
      </c>
    </row>
    <row r="406" spans="1:9" x14ac:dyDescent="0.25">
      <c r="A406">
        <v>25</v>
      </c>
      <c r="B406" t="s">
        <v>204</v>
      </c>
      <c r="D406" t="s">
        <v>66</v>
      </c>
      <c r="E406">
        <v>237.99</v>
      </c>
      <c r="F406" t="s">
        <v>193</v>
      </c>
      <c r="G406">
        <v>2</v>
      </c>
      <c r="H406">
        <v>0</v>
      </c>
      <c r="I406" t="s">
        <v>475</v>
      </c>
    </row>
    <row r="407" spans="1:9" x14ac:dyDescent="0.25">
      <c r="A407">
        <v>25</v>
      </c>
      <c r="B407" t="s">
        <v>251</v>
      </c>
      <c r="D407" t="s">
        <v>189</v>
      </c>
      <c r="E407">
        <v>144.99</v>
      </c>
      <c r="F407" t="s">
        <v>196</v>
      </c>
      <c r="G407">
        <v>2</v>
      </c>
      <c r="H407">
        <v>0</v>
      </c>
      <c r="I407" t="s">
        <v>305</v>
      </c>
    </row>
    <row r="408" spans="1:9" x14ac:dyDescent="0.25">
      <c r="A408">
        <v>25</v>
      </c>
      <c r="B408" t="s">
        <v>228</v>
      </c>
      <c r="D408" t="s">
        <v>189</v>
      </c>
      <c r="E408">
        <v>140.99</v>
      </c>
      <c r="F408" t="s">
        <v>194</v>
      </c>
      <c r="G408">
        <v>4</v>
      </c>
      <c r="H408">
        <v>0</v>
      </c>
      <c r="I408" t="s">
        <v>84</v>
      </c>
    </row>
    <row r="409" spans="1:9" x14ac:dyDescent="0.25">
      <c r="A409">
        <v>26</v>
      </c>
      <c r="B409" t="s">
        <v>243</v>
      </c>
      <c r="D409" t="s">
        <v>66</v>
      </c>
      <c r="E409">
        <v>269.99</v>
      </c>
      <c r="F409" t="s">
        <v>195</v>
      </c>
      <c r="G409">
        <v>2</v>
      </c>
      <c r="H409">
        <v>1</v>
      </c>
      <c r="I409" t="s">
        <v>325</v>
      </c>
    </row>
    <row r="410" spans="1:9" x14ac:dyDescent="0.25">
      <c r="A410">
        <v>26</v>
      </c>
      <c r="B410" t="s">
        <v>224</v>
      </c>
      <c r="D410" t="s">
        <v>190</v>
      </c>
      <c r="E410">
        <v>125.99</v>
      </c>
      <c r="F410" t="s">
        <v>194</v>
      </c>
      <c r="G410">
        <v>4</v>
      </c>
      <c r="H410">
        <v>1</v>
      </c>
      <c r="I410" t="s">
        <v>361</v>
      </c>
    </row>
    <row r="411" spans="1:9" x14ac:dyDescent="0.25">
      <c r="A411">
        <v>26</v>
      </c>
      <c r="B411" t="s">
        <v>242</v>
      </c>
      <c r="D411" t="s">
        <v>190</v>
      </c>
      <c r="E411">
        <v>123.99</v>
      </c>
      <c r="F411" t="s">
        <v>195</v>
      </c>
      <c r="G411">
        <v>2</v>
      </c>
      <c r="H411">
        <v>0</v>
      </c>
      <c r="I411" t="s">
        <v>86</v>
      </c>
    </row>
    <row r="412" spans="1:9" x14ac:dyDescent="0.25">
      <c r="A412">
        <v>26</v>
      </c>
      <c r="B412" t="s">
        <v>266</v>
      </c>
      <c r="D412" t="s">
        <v>190</v>
      </c>
      <c r="E412">
        <v>123.99</v>
      </c>
      <c r="F412" t="s">
        <v>196</v>
      </c>
      <c r="G412">
        <v>2</v>
      </c>
      <c r="H412">
        <v>0</v>
      </c>
      <c r="I412" t="s">
        <v>485</v>
      </c>
    </row>
    <row r="413" spans="1:9" x14ac:dyDescent="0.25">
      <c r="A413">
        <v>26</v>
      </c>
      <c r="B413" t="s">
        <v>221</v>
      </c>
      <c r="D413" t="s">
        <v>66</v>
      </c>
      <c r="E413">
        <v>249.99</v>
      </c>
      <c r="F413" t="s">
        <v>195</v>
      </c>
      <c r="G413">
        <v>2</v>
      </c>
      <c r="H413">
        <v>1</v>
      </c>
      <c r="I413" t="s">
        <v>293</v>
      </c>
    </row>
    <row r="414" spans="1:9" x14ac:dyDescent="0.25">
      <c r="A414">
        <v>26</v>
      </c>
      <c r="B414" t="s">
        <v>226</v>
      </c>
      <c r="D414" t="s">
        <v>189</v>
      </c>
      <c r="E414">
        <v>149.99</v>
      </c>
      <c r="F414" t="s">
        <v>195</v>
      </c>
      <c r="G414">
        <v>2</v>
      </c>
      <c r="H414">
        <v>0</v>
      </c>
      <c r="I414" t="s">
        <v>364</v>
      </c>
    </row>
    <row r="415" spans="1:9" x14ac:dyDescent="0.25">
      <c r="A415">
        <v>26</v>
      </c>
      <c r="B415" t="s">
        <v>227</v>
      </c>
      <c r="D415" t="s">
        <v>189</v>
      </c>
      <c r="E415">
        <v>162.99</v>
      </c>
      <c r="F415" t="s">
        <v>194</v>
      </c>
      <c r="G415">
        <v>4</v>
      </c>
      <c r="H415">
        <v>0</v>
      </c>
      <c r="I415" t="s">
        <v>290</v>
      </c>
    </row>
    <row r="416" spans="1:9" x14ac:dyDescent="0.25">
      <c r="A416">
        <v>26</v>
      </c>
      <c r="B416" t="s">
        <v>233</v>
      </c>
      <c r="D416" t="s">
        <v>66</v>
      </c>
      <c r="E416">
        <v>269.99</v>
      </c>
      <c r="F416" t="s">
        <v>194</v>
      </c>
      <c r="G416">
        <v>4</v>
      </c>
      <c r="H416">
        <v>0</v>
      </c>
      <c r="I416" t="s">
        <v>360</v>
      </c>
    </row>
    <row r="417" spans="1:9" x14ac:dyDescent="0.25">
      <c r="A417">
        <v>26</v>
      </c>
      <c r="B417" t="s">
        <v>214</v>
      </c>
      <c r="D417" t="s">
        <v>66</v>
      </c>
      <c r="E417">
        <v>236.99</v>
      </c>
      <c r="F417" t="s">
        <v>195</v>
      </c>
      <c r="G417">
        <v>2</v>
      </c>
      <c r="H417">
        <v>1</v>
      </c>
      <c r="I417" t="s">
        <v>344</v>
      </c>
    </row>
    <row r="418" spans="1:9" x14ac:dyDescent="0.25">
      <c r="A418">
        <v>26</v>
      </c>
      <c r="B418" t="s">
        <v>205</v>
      </c>
      <c r="D418" t="s">
        <v>189</v>
      </c>
      <c r="E418">
        <v>157.99</v>
      </c>
      <c r="F418" t="s">
        <v>193</v>
      </c>
      <c r="G418">
        <v>2</v>
      </c>
      <c r="H418">
        <v>0</v>
      </c>
      <c r="I418" t="s">
        <v>360</v>
      </c>
    </row>
    <row r="419" spans="1:9" x14ac:dyDescent="0.25">
      <c r="A419">
        <v>26</v>
      </c>
      <c r="B419" t="s">
        <v>283</v>
      </c>
      <c r="D419" t="s">
        <v>189</v>
      </c>
      <c r="E419">
        <v>137.99</v>
      </c>
      <c r="F419" t="s">
        <v>196</v>
      </c>
      <c r="G419">
        <v>2</v>
      </c>
      <c r="H419">
        <v>0</v>
      </c>
      <c r="I419" t="s">
        <v>367</v>
      </c>
    </row>
    <row r="420" spans="1:9" x14ac:dyDescent="0.25">
      <c r="A420">
        <v>27</v>
      </c>
      <c r="B420" t="s">
        <v>260</v>
      </c>
      <c r="D420" t="s">
        <v>250</v>
      </c>
      <c r="E420">
        <v>75.989999999999995</v>
      </c>
      <c r="F420" t="s">
        <v>193</v>
      </c>
      <c r="G420">
        <v>2</v>
      </c>
      <c r="H420">
        <v>0</v>
      </c>
      <c r="I420" t="s">
        <v>85</v>
      </c>
    </row>
    <row r="421" spans="1:9" x14ac:dyDescent="0.25">
      <c r="A421">
        <v>27</v>
      </c>
      <c r="B421" t="s">
        <v>255</v>
      </c>
      <c r="D421" t="s">
        <v>250</v>
      </c>
      <c r="E421">
        <v>80.989999999999995</v>
      </c>
      <c r="F421" t="s">
        <v>195</v>
      </c>
      <c r="G421">
        <v>2</v>
      </c>
      <c r="H421">
        <v>0</v>
      </c>
      <c r="I421" t="s">
        <v>85</v>
      </c>
    </row>
    <row r="422" spans="1:9" x14ac:dyDescent="0.25">
      <c r="A422">
        <v>27</v>
      </c>
      <c r="B422" t="s">
        <v>276</v>
      </c>
      <c r="D422" t="s">
        <v>250</v>
      </c>
      <c r="E422">
        <v>80.989999999999995</v>
      </c>
      <c r="F422" t="s">
        <v>196</v>
      </c>
      <c r="G422">
        <v>2</v>
      </c>
      <c r="H422">
        <v>1</v>
      </c>
      <c r="I422" t="s">
        <v>302</v>
      </c>
    </row>
    <row r="423" spans="1:9" x14ac:dyDescent="0.25">
      <c r="A423">
        <v>27</v>
      </c>
      <c r="B423" t="s">
        <v>210</v>
      </c>
      <c r="D423" t="s">
        <v>189</v>
      </c>
      <c r="E423">
        <v>148.99</v>
      </c>
      <c r="F423" t="s">
        <v>194</v>
      </c>
      <c r="G423">
        <v>4</v>
      </c>
      <c r="H423">
        <v>1</v>
      </c>
      <c r="I423" t="s">
        <v>82</v>
      </c>
    </row>
    <row r="424" spans="1:9" x14ac:dyDescent="0.25">
      <c r="A424">
        <v>27</v>
      </c>
      <c r="B424" t="s">
        <v>240</v>
      </c>
      <c r="D424" t="s">
        <v>66</v>
      </c>
      <c r="E424">
        <v>232.99</v>
      </c>
      <c r="F424" t="s">
        <v>194</v>
      </c>
      <c r="G424">
        <v>4</v>
      </c>
      <c r="H424">
        <v>1</v>
      </c>
      <c r="I424" t="s">
        <v>332</v>
      </c>
    </row>
    <row r="425" spans="1:9" x14ac:dyDescent="0.25">
      <c r="A425">
        <v>27</v>
      </c>
      <c r="B425" t="s">
        <v>279</v>
      </c>
      <c r="D425" t="s">
        <v>250</v>
      </c>
      <c r="E425">
        <v>71.989999999999995</v>
      </c>
      <c r="F425" t="s">
        <v>195</v>
      </c>
      <c r="G425">
        <v>2</v>
      </c>
      <c r="H425">
        <v>0</v>
      </c>
      <c r="I425" t="s">
        <v>383</v>
      </c>
    </row>
    <row r="426" spans="1:9" x14ac:dyDescent="0.25">
      <c r="A426">
        <v>27</v>
      </c>
      <c r="B426" t="s">
        <v>261</v>
      </c>
      <c r="D426" t="s">
        <v>250</v>
      </c>
      <c r="E426">
        <v>77.989999999999995</v>
      </c>
      <c r="F426" t="s">
        <v>194</v>
      </c>
      <c r="G426">
        <v>4</v>
      </c>
      <c r="H426">
        <v>1</v>
      </c>
      <c r="I426" t="s">
        <v>82</v>
      </c>
    </row>
    <row r="427" spans="1:9" x14ac:dyDescent="0.25">
      <c r="A427">
        <v>28</v>
      </c>
      <c r="B427" t="s">
        <v>218</v>
      </c>
      <c r="D427" t="s">
        <v>190</v>
      </c>
      <c r="E427">
        <v>105.99</v>
      </c>
      <c r="F427" t="s">
        <v>193</v>
      </c>
      <c r="G427">
        <v>2</v>
      </c>
      <c r="H427">
        <v>1</v>
      </c>
      <c r="I427" t="s">
        <v>341</v>
      </c>
    </row>
    <row r="428" spans="1:9" x14ac:dyDescent="0.25">
      <c r="A428">
        <v>28</v>
      </c>
      <c r="B428" t="s">
        <v>207</v>
      </c>
      <c r="D428" t="s">
        <v>190</v>
      </c>
      <c r="E428">
        <v>104.99</v>
      </c>
      <c r="F428" t="s">
        <v>193</v>
      </c>
      <c r="G428">
        <v>2</v>
      </c>
      <c r="H428">
        <v>0</v>
      </c>
      <c r="I428" t="s">
        <v>287</v>
      </c>
    </row>
    <row r="429" spans="1:9" x14ac:dyDescent="0.25">
      <c r="A429">
        <v>28</v>
      </c>
      <c r="B429" t="s">
        <v>253</v>
      </c>
      <c r="D429" t="s">
        <v>250</v>
      </c>
      <c r="E429">
        <v>59.99</v>
      </c>
      <c r="F429" t="s">
        <v>194</v>
      </c>
      <c r="G429">
        <v>4</v>
      </c>
      <c r="H429">
        <v>1</v>
      </c>
      <c r="I429" t="s">
        <v>495</v>
      </c>
    </row>
    <row r="430" spans="1:9" x14ac:dyDescent="0.25">
      <c r="A430">
        <v>28</v>
      </c>
      <c r="B430" t="s">
        <v>203</v>
      </c>
      <c r="D430" t="s">
        <v>190</v>
      </c>
      <c r="E430">
        <v>104.99</v>
      </c>
      <c r="F430" t="s">
        <v>195</v>
      </c>
      <c r="G430">
        <v>2</v>
      </c>
      <c r="H430">
        <v>0</v>
      </c>
      <c r="I430" t="s">
        <v>496</v>
      </c>
    </row>
    <row r="431" spans="1:9" x14ac:dyDescent="0.25">
      <c r="A431">
        <v>28</v>
      </c>
      <c r="B431" t="s">
        <v>280</v>
      </c>
      <c r="D431" t="s">
        <v>189</v>
      </c>
      <c r="E431">
        <v>160.99</v>
      </c>
      <c r="F431" t="s">
        <v>196</v>
      </c>
      <c r="G431">
        <v>2</v>
      </c>
      <c r="H431">
        <v>1</v>
      </c>
      <c r="I431" t="s">
        <v>309</v>
      </c>
    </row>
    <row r="432" spans="1:9" x14ac:dyDescent="0.25">
      <c r="A432">
        <v>28</v>
      </c>
      <c r="B432" t="s">
        <v>221</v>
      </c>
      <c r="D432" t="s">
        <v>66</v>
      </c>
      <c r="E432">
        <v>262.99</v>
      </c>
      <c r="F432" t="s">
        <v>195</v>
      </c>
      <c r="G432">
        <v>2</v>
      </c>
      <c r="H432">
        <v>0</v>
      </c>
      <c r="I432" t="s">
        <v>86</v>
      </c>
    </row>
    <row r="433" spans="1:9" x14ac:dyDescent="0.25">
      <c r="A433">
        <v>28</v>
      </c>
      <c r="B433" t="s">
        <v>276</v>
      </c>
      <c r="D433" t="s">
        <v>250</v>
      </c>
      <c r="E433">
        <v>91.99</v>
      </c>
      <c r="F433" t="s">
        <v>196</v>
      </c>
      <c r="G433">
        <v>2</v>
      </c>
      <c r="H433">
        <v>0</v>
      </c>
      <c r="I433" t="s">
        <v>405</v>
      </c>
    </row>
    <row r="434" spans="1:9" x14ac:dyDescent="0.25">
      <c r="A434">
        <v>28</v>
      </c>
      <c r="B434" t="s">
        <v>225</v>
      </c>
      <c r="D434" t="s">
        <v>190</v>
      </c>
      <c r="E434">
        <v>118.99</v>
      </c>
      <c r="F434" t="s">
        <v>195</v>
      </c>
      <c r="G434">
        <v>2</v>
      </c>
      <c r="H434">
        <v>1</v>
      </c>
      <c r="I434" t="s">
        <v>369</v>
      </c>
    </row>
    <row r="435" spans="1:9" x14ac:dyDescent="0.25">
      <c r="A435">
        <v>28</v>
      </c>
      <c r="B435" t="s">
        <v>230</v>
      </c>
      <c r="D435" t="s">
        <v>189</v>
      </c>
      <c r="E435">
        <v>135.99</v>
      </c>
      <c r="F435" t="s">
        <v>194</v>
      </c>
      <c r="G435">
        <v>4</v>
      </c>
      <c r="H435">
        <v>1</v>
      </c>
      <c r="I435" t="s">
        <v>487</v>
      </c>
    </row>
    <row r="436" spans="1:9" x14ac:dyDescent="0.25">
      <c r="A436">
        <v>28</v>
      </c>
      <c r="B436" t="s">
        <v>279</v>
      </c>
      <c r="D436" t="s">
        <v>250</v>
      </c>
      <c r="E436">
        <v>66.989999999999995</v>
      </c>
      <c r="F436" t="s">
        <v>195</v>
      </c>
      <c r="G436">
        <v>2</v>
      </c>
      <c r="H436">
        <v>1</v>
      </c>
      <c r="I436" t="s">
        <v>401</v>
      </c>
    </row>
    <row r="437" spans="1:9" x14ac:dyDescent="0.25">
      <c r="A437">
        <v>28</v>
      </c>
      <c r="B437" t="s">
        <v>208</v>
      </c>
      <c r="D437" t="s">
        <v>190</v>
      </c>
      <c r="E437">
        <v>101.99</v>
      </c>
      <c r="F437" t="s">
        <v>194</v>
      </c>
      <c r="G437">
        <v>4</v>
      </c>
      <c r="H437">
        <v>0</v>
      </c>
      <c r="I437" t="s">
        <v>82</v>
      </c>
    </row>
    <row r="438" spans="1:9" x14ac:dyDescent="0.25">
      <c r="A438">
        <v>28</v>
      </c>
      <c r="B438" t="s">
        <v>267</v>
      </c>
      <c r="D438" t="s">
        <v>250</v>
      </c>
      <c r="E438">
        <v>71.989999999999995</v>
      </c>
      <c r="F438" t="s">
        <v>194</v>
      </c>
      <c r="G438">
        <v>4</v>
      </c>
      <c r="H438">
        <v>1</v>
      </c>
      <c r="I438" t="s">
        <v>388</v>
      </c>
    </row>
    <row r="439" spans="1:9" x14ac:dyDescent="0.25">
      <c r="A439">
        <v>28</v>
      </c>
      <c r="B439" t="s">
        <v>232</v>
      </c>
      <c r="D439" t="s">
        <v>66</v>
      </c>
      <c r="E439">
        <v>235.99</v>
      </c>
      <c r="F439" t="s">
        <v>194</v>
      </c>
      <c r="G439">
        <v>4</v>
      </c>
      <c r="H439">
        <v>1</v>
      </c>
      <c r="I439" t="s">
        <v>323</v>
      </c>
    </row>
    <row r="440" spans="1:9" x14ac:dyDescent="0.25">
      <c r="A440">
        <v>28</v>
      </c>
      <c r="B440" t="s">
        <v>238</v>
      </c>
      <c r="D440" t="s">
        <v>66</v>
      </c>
      <c r="E440">
        <v>249.99</v>
      </c>
      <c r="F440" t="s">
        <v>193</v>
      </c>
      <c r="G440">
        <v>2</v>
      </c>
      <c r="H440">
        <v>0</v>
      </c>
      <c r="I440" t="s">
        <v>331</v>
      </c>
    </row>
    <row r="441" spans="1:9" x14ac:dyDescent="0.25">
      <c r="A441">
        <v>28</v>
      </c>
      <c r="B441" t="s">
        <v>280</v>
      </c>
      <c r="D441" t="s">
        <v>189</v>
      </c>
      <c r="E441">
        <v>130.99</v>
      </c>
      <c r="F441" t="s">
        <v>196</v>
      </c>
      <c r="G441">
        <v>2</v>
      </c>
      <c r="H441">
        <v>1</v>
      </c>
      <c r="I441" t="s">
        <v>425</v>
      </c>
    </row>
    <row r="442" spans="1:9" x14ac:dyDescent="0.25">
      <c r="A442">
        <v>28</v>
      </c>
      <c r="B442" t="s">
        <v>220</v>
      </c>
      <c r="D442" t="s">
        <v>189</v>
      </c>
      <c r="E442">
        <v>162.99</v>
      </c>
      <c r="F442" t="s">
        <v>193</v>
      </c>
      <c r="G442">
        <v>2</v>
      </c>
      <c r="H442">
        <v>1</v>
      </c>
      <c r="I442" t="s">
        <v>497</v>
      </c>
    </row>
    <row r="443" spans="1:9" x14ac:dyDescent="0.25">
      <c r="A443">
        <v>28</v>
      </c>
      <c r="B443" t="s">
        <v>209</v>
      </c>
      <c r="D443" t="s">
        <v>190</v>
      </c>
      <c r="E443">
        <v>116.99</v>
      </c>
      <c r="F443" t="s">
        <v>193</v>
      </c>
      <c r="G443">
        <v>2</v>
      </c>
      <c r="H443">
        <v>0</v>
      </c>
      <c r="I443" t="s">
        <v>87</v>
      </c>
    </row>
    <row r="444" spans="1:9" x14ac:dyDescent="0.25">
      <c r="A444">
        <v>29</v>
      </c>
      <c r="B444" t="s">
        <v>246</v>
      </c>
      <c r="D444" t="s">
        <v>190</v>
      </c>
      <c r="E444">
        <v>126.99</v>
      </c>
      <c r="F444" t="s">
        <v>193</v>
      </c>
      <c r="G444">
        <v>2</v>
      </c>
      <c r="H444">
        <v>1</v>
      </c>
      <c r="I444" t="s">
        <v>393</v>
      </c>
    </row>
    <row r="445" spans="1:9" x14ac:dyDescent="0.25">
      <c r="A445">
        <v>29</v>
      </c>
      <c r="B445" t="s">
        <v>263</v>
      </c>
      <c r="D445" t="s">
        <v>190</v>
      </c>
      <c r="E445">
        <v>115.99</v>
      </c>
      <c r="F445" t="s">
        <v>196</v>
      </c>
      <c r="G445">
        <v>2</v>
      </c>
      <c r="H445">
        <v>0</v>
      </c>
      <c r="I445" t="s">
        <v>302</v>
      </c>
    </row>
    <row r="446" spans="1:9" x14ac:dyDescent="0.25">
      <c r="A446">
        <v>29</v>
      </c>
      <c r="B446" t="s">
        <v>270</v>
      </c>
      <c r="D446" t="s">
        <v>250</v>
      </c>
      <c r="E446">
        <v>96.99</v>
      </c>
      <c r="F446" t="s">
        <v>193</v>
      </c>
      <c r="G446">
        <v>2</v>
      </c>
      <c r="H446">
        <v>0</v>
      </c>
      <c r="I446" t="s">
        <v>498</v>
      </c>
    </row>
    <row r="447" spans="1:9" x14ac:dyDescent="0.25">
      <c r="A447">
        <v>29</v>
      </c>
      <c r="B447" t="s">
        <v>284</v>
      </c>
      <c r="D447" t="s">
        <v>250</v>
      </c>
      <c r="E447">
        <v>83.99</v>
      </c>
      <c r="F447" t="s">
        <v>195</v>
      </c>
      <c r="G447">
        <v>2</v>
      </c>
      <c r="H447">
        <v>0</v>
      </c>
      <c r="I447" t="s">
        <v>360</v>
      </c>
    </row>
    <row r="448" spans="1:9" x14ac:dyDescent="0.25">
      <c r="A448">
        <v>29</v>
      </c>
      <c r="B448" t="s">
        <v>211</v>
      </c>
      <c r="D448" t="s">
        <v>189</v>
      </c>
      <c r="E448">
        <v>160.99</v>
      </c>
      <c r="F448" t="s">
        <v>195</v>
      </c>
      <c r="G448">
        <v>2</v>
      </c>
      <c r="H448">
        <v>1</v>
      </c>
      <c r="I448" t="s">
        <v>442</v>
      </c>
    </row>
    <row r="449" spans="1:9" x14ac:dyDescent="0.25">
      <c r="A449">
        <v>29</v>
      </c>
      <c r="B449" t="s">
        <v>264</v>
      </c>
      <c r="D449" t="s">
        <v>250</v>
      </c>
      <c r="E449">
        <v>71.989999999999995</v>
      </c>
      <c r="F449" t="s">
        <v>196</v>
      </c>
      <c r="G449">
        <v>2</v>
      </c>
      <c r="H449">
        <v>1</v>
      </c>
      <c r="I449" t="s">
        <v>409</v>
      </c>
    </row>
    <row r="450" spans="1:9" x14ac:dyDescent="0.25">
      <c r="A450">
        <v>29</v>
      </c>
      <c r="B450" t="s">
        <v>243</v>
      </c>
      <c r="D450" t="s">
        <v>66</v>
      </c>
      <c r="E450">
        <v>267.99</v>
      </c>
      <c r="F450" t="s">
        <v>195</v>
      </c>
      <c r="G450">
        <v>2</v>
      </c>
      <c r="H450">
        <v>1</v>
      </c>
      <c r="I450" t="s">
        <v>306</v>
      </c>
    </row>
    <row r="451" spans="1:9" x14ac:dyDescent="0.25">
      <c r="A451">
        <v>29</v>
      </c>
      <c r="B451" t="s">
        <v>238</v>
      </c>
      <c r="D451" t="s">
        <v>66</v>
      </c>
      <c r="E451">
        <v>232.99</v>
      </c>
      <c r="F451" t="s">
        <v>193</v>
      </c>
      <c r="G451">
        <v>2</v>
      </c>
      <c r="H451">
        <v>1</v>
      </c>
      <c r="I451" t="s">
        <v>316</v>
      </c>
    </row>
    <row r="452" spans="1:9" x14ac:dyDescent="0.25">
      <c r="A452">
        <v>30</v>
      </c>
      <c r="B452" t="s">
        <v>267</v>
      </c>
      <c r="D452" t="s">
        <v>250</v>
      </c>
      <c r="E452">
        <v>65.989999999999995</v>
      </c>
      <c r="F452" t="s">
        <v>194</v>
      </c>
      <c r="G452">
        <v>4</v>
      </c>
      <c r="H452">
        <v>0</v>
      </c>
      <c r="I452" t="s">
        <v>84</v>
      </c>
    </row>
    <row r="453" spans="1:9" x14ac:dyDescent="0.25">
      <c r="A453">
        <v>30</v>
      </c>
      <c r="B453" t="s">
        <v>208</v>
      </c>
      <c r="D453" t="s">
        <v>190</v>
      </c>
      <c r="E453">
        <v>117.99</v>
      </c>
      <c r="F453" t="s">
        <v>194</v>
      </c>
      <c r="G453">
        <v>4</v>
      </c>
      <c r="H453">
        <v>1</v>
      </c>
      <c r="I453" t="s">
        <v>87</v>
      </c>
    </row>
    <row r="454" spans="1:9" x14ac:dyDescent="0.25">
      <c r="A454">
        <v>30</v>
      </c>
      <c r="B454" t="s">
        <v>268</v>
      </c>
      <c r="D454" t="s">
        <v>250</v>
      </c>
      <c r="E454">
        <v>92.99</v>
      </c>
      <c r="F454" t="s">
        <v>193</v>
      </c>
      <c r="G454">
        <v>2</v>
      </c>
      <c r="H454">
        <v>1</v>
      </c>
      <c r="I454" t="s">
        <v>86</v>
      </c>
    </row>
    <row r="455" spans="1:9" x14ac:dyDescent="0.25">
      <c r="A455">
        <v>30</v>
      </c>
      <c r="B455" t="s">
        <v>243</v>
      </c>
      <c r="D455" t="s">
        <v>66</v>
      </c>
      <c r="E455">
        <v>239.99</v>
      </c>
      <c r="F455" t="s">
        <v>195</v>
      </c>
      <c r="G455">
        <v>2</v>
      </c>
      <c r="H455">
        <v>1</v>
      </c>
      <c r="I455" t="s">
        <v>499</v>
      </c>
    </row>
    <row r="456" spans="1:9" x14ac:dyDescent="0.25">
      <c r="A456">
        <v>30</v>
      </c>
      <c r="B456" t="s">
        <v>273</v>
      </c>
      <c r="D456" t="s">
        <v>66</v>
      </c>
      <c r="E456">
        <v>255.99</v>
      </c>
      <c r="F456" t="s">
        <v>196</v>
      </c>
      <c r="G456">
        <v>2</v>
      </c>
      <c r="H456">
        <v>1</v>
      </c>
      <c r="I456" t="s">
        <v>83</v>
      </c>
    </row>
    <row r="457" spans="1:9" x14ac:dyDescent="0.25">
      <c r="A457">
        <v>30</v>
      </c>
      <c r="B457" t="s">
        <v>255</v>
      </c>
      <c r="D457" t="s">
        <v>250</v>
      </c>
      <c r="E457">
        <v>78.989999999999995</v>
      </c>
      <c r="F457" t="s">
        <v>195</v>
      </c>
      <c r="G457">
        <v>2</v>
      </c>
      <c r="H457">
        <v>1</v>
      </c>
      <c r="I457" t="s">
        <v>87</v>
      </c>
    </row>
    <row r="458" spans="1:9" x14ac:dyDescent="0.25">
      <c r="A458">
        <v>30</v>
      </c>
      <c r="B458" t="s">
        <v>260</v>
      </c>
      <c r="D458" t="s">
        <v>250</v>
      </c>
      <c r="E458">
        <v>73.989999999999995</v>
      </c>
      <c r="F458" t="s">
        <v>193</v>
      </c>
      <c r="G458">
        <v>2</v>
      </c>
      <c r="H458">
        <v>0</v>
      </c>
      <c r="I458" t="s">
        <v>378</v>
      </c>
    </row>
    <row r="459" spans="1:9" x14ac:dyDescent="0.25">
      <c r="A459">
        <v>30</v>
      </c>
      <c r="B459" t="s">
        <v>255</v>
      </c>
      <c r="D459" t="s">
        <v>250</v>
      </c>
      <c r="E459">
        <v>75.989999999999995</v>
      </c>
      <c r="F459" t="s">
        <v>195</v>
      </c>
      <c r="G459">
        <v>2</v>
      </c>
      <c r="H459">
        <v>1</v>
      </c>
      <c r="I459" t="s">
        <v>407</v>
      </c>
    </row>
    <row r="460" spans="1:9" x14ac:dyDescent="0.25">
      <c r="A460">
        <v>31</v>
      </c>
      <c r="B460" t="s">
        <v>215</v>
      </c>
      <c r="D460" t="s">
        <v>189</v>
      </c>
      <c r="E460">
        <v>164.99</v>
      </c>
      <c r="F460" t="s">
        <v>193</v>
      </c>
      <c r="G460">
        <v>2</v>
      </c>
      <c r="H460">
        <v>0</v>
      </c>
      <c r="I460" t="s">
        <v>85</v>
      </c>
    </row>
    <row r="461" spans="1:9" x14ac:dyDescent="0.25">
      <c r="A461">
        <v>31</v>
      </c>
      <c r="B461" t="s">
        <v>209</v>
      </c>
      <c r="D461" t="s">
        <v>190</v>
      </c>
      <c r="E461">
        <v>119.99</v>
      </c>
      <c r="F461" t="s">
        <v>193</v>
      </c>
      <c r="G461">
        <v>2</v>
      </c>
      <c r="H461">
        <v>0</v>
      </c>
      <c r="I461" t="s">
        <v>87</v>
      </c>
    </row>
    <row r="462" spans="1:9" x14ac:dyDescent="0.25">
      <c r="A462">
        <v>31</v>
      </c>
      <c r="B462" t="s">
        <v>240</v>
      </c>
      <c r="D462" t="s">
        <v>66</v>
      </c>
      <c r="E462">
        <v>252.99</v>
      </c>
      <c r="F462" t="s">
        <v>194</v>
      </c>
      <c r="G462">
        <v>4</v>
      </c>
      <c r="H462">
        <v>0</v>
      </c>
      <c r="I462" t="s">
        <v>85</v>
      </c>
    </row>
    <row r="463" spans="1:9" x14ac:dyDescent="0.25">
      <c r="A463">
        <v>31</v>
      </c>
      <c r="B463" t="s">
        <v>254</v>
      </c>
      <c r="D463" t="s">
        <v>66</v>
      </c>
      <c r="E463">
        <v>241.99</v>
      </c>
      <c r="F463" t="s">
        <v>196</v>
      </c>
      <c r="G463">
        <v>2</v>
      </c>
      <c r="H463">
        <v>1</v>
      </c>
      <c r="I463" t="s">
        <v>82</v>
      </c>
    </row>
    <row r="464" spans="1:9" x14ac:dyDescent="0.25">
      <c r="A464">
        <v>31</v>
      </c>
      <c r="B464" t="s">
        <v>266</v>
      </c>
      <c r="D464" t="s">
        <v>190</v>
      </c>
      <c r="E464">
        <v>104.99</v>
      </c>
      <c r="F464" t="s">
        <v>196</v>
      </c>
      <c r="G464">
        <v>2</v>
      </c>
      <c r="H464">
        <v>1</v>
      </c>
      <c r="I464" t="s">
        <v>83</v>
      </c>
    </row>
    <row r="465" spans="1:9" x14ac:dyDescent="0.25">
      <c r="A465">
        <v>31</v>
      </c>
      <c r="B465" t="s">
        <v>204</v>
      </c>
      <c r="D465" t="s">
        <v>66</v>
      </c>
      <c r="E465">
        <v>243.99</v>
      </c>
      <c r="F465" t="s">
        <v>193</v>
      </c>
      <c r="G465">
        <v>2</v>
      </c>
      <c r="H465">
        <v>0</v>
      </c>
      <c r="I465" t="s">
        <v>297</v>
      </c>
    </row>
    <row r="466" spans="1:9" x14ac:dyDescent="0.25">
      <c r="A466">
        <v>31</v>
      </c>
      <c r="B466" t="s">
        <v>223</v>
      </c>
      <c r="D466" t="s">
        <v>189</v>
      </c>
      <c r="E466">
        <v>145.99</v>
      </c>
      <c r="F466" t="s">
        <v>195</v>
      </c>
      <c r="G466">
        <v>2</v>
      </c>
      <c r="H466">
        <v>0</v>
      </c>
      <c r="I466" t="s">
        <v>429</v>
      </c>
    </row>
    <row r="467" spans="1:9" x14ac:dyDescent="0.25">
      <c r="A467">
        <v>31</v>
      </c>
      <c r="B467" t="s">
        <v>282</v>
      </c>
      <c r="D467" t="s">
        <v>250</v>
      </c>
      <c r="E467">
        <v>65.989999999999995</v>
      </c>
      <c r="F467" t="s">
        <v>196</v>
      </c>
      <c r="G467">
        <v>2</v>
      </c>
      <c r="H467">
        <v>0</v>
      </c>
      <c r="I467" t="s">
        <v>331</v>
      </c>
    </row>
    <row r="468" spans="1:9" x14ac:dyDescent="0.25">
      <c r="A468">
        <v>31</v>
      </c>
      <c r="B468" t="s">
        <v>264</v>
      </c>
      <c r="D468" t="s">
        <v>250</v>
      </c>
      <c r="E468">
        <v>66.989999999999995</v>
      </c>
      <c r="F468" t="s">
        <v>196</v>
      </c>
      <c r="G468">
        <v>2</v>
      </c>
      <c r="H468">
        <v>0</v>
      </c>
      <c r="I468" t="s">
        <v>83</v>
      </c>
    </row>
    <row r="469" spans="1:9" x14ac:dyDescent="0.25">
      <c r="A469">
        <v>31</v>
      </c>
      <c r="B469" t="s">
        <v>228</v>
      </c>
      <c r="D469" t="s">
        <v>189</v>
      </c>
      <c r="E469">
        <v>168.99</v>
      </c>
      <c r="F469" t="s">
        <v>194</v>
      </c>
      <c r="G469">
        <v>4</v>
      </c>
      <c r="H469">
        <v>1</v>
      </c>
      <c r="I469" t="s">
        <v>85</v>
      </c>
    </row>
    <row r="470" spans="1:9" x14ac:dyDescent="0.25">
      <c r="A470">
        <v>31</v>
      </c>
      <c r="B470" t="s">
        <v>242</v>
      </c>
      <c r="D470" t="s">
        <v>190</v>
      </c>
      <c r="E470">
        <v>133.99</v>
      </c>
      <c r="F470" t="s">
        <v>195</v>
      </c>
      <c r="G470">
        <v>2</v>
      </c>
      <c r="H470">
        <v>1</v>
      </c>
      <c r="I470" t="s">
        <v>306</v>
      </c>
    </row>
    <row r="471" spans="1:9" x14ac:dyDescent="0.25">
      <c r="A471">
        <v>31</v>
      </c>
      <c r="B471" t="s">
        <v>260</v>
      </c>
      <c r="D471" t="s">
        <v>250</v>
      </c>
      <c r="E471">
        <v>98.99</v>
      </c>
      <c r="F471" t="s">
        <v>193</v>
      </c>
      <c r="G471">
        <v>2</v>
      </c>
      <c r="H471">
        <v>0</v>
      </c>
      <c r="I471" t="s">
        <v>86</v>
      </c>
    </row>
    <row r="472" spans="1:9" x14ac:dyDescent="0.25">
      <c r="A472">
        <v>31</v>
      </c>
      <c r="B472" t="s">
        <v>213</v>
      </c>
      <c r="D472" t="s">
        <v>190</v>
      </c>
      <c r="E472">
        <v>101.99</v>
      </c>
      <c r="F472" t="s">
        <v>195</v>
      </c>
      <c r="G472">
        <v>2</v>
      </c>
      <c r="H472">
        <v>1</v>
      </c>
      <c r="I472" t="s">
        <v>87</v>
      </c>
    </row>
    <row r="473" spans="1:9" x14ac:dyDescent="0.25">
      <c r="A473">
        <v>31</v>
      </c>
      <c r="B473" t="s">
        <v>282</v>
      </c>
      <c r="D473" t="s">
        <v>250</v>
      </c>
      <c r="E473">
        <v>60.99</v>
      </c>
      <c r="F473" t="s">
        <v>196</v>
      </c>
      <c r="G473">
        <v>2</v>
      </c>
      <c r="H473">
        <v>1</v>
      </c>
      <c r="I473" t="s">
        <v>83</v>
      </c>
    </row>
    <row r="474" spans="1:9" x14ac:dyDescent="0.25">
      <c r="A474">
        <v>31</v>
      </c>
      <c r="B474" t="s">
        <v>214</v>
      </c>
      <c r="D474" t="s">
        <v>66</v>
      </c>
      <c r="E474">
        <v>255.99</v>
      </c>
      <c r="F474" t="s">
        <v>195</v>
      </c>
      <c r="G474">
        <v>2</v>
      </c>
      <c r="H474">
        <v>1</v>
      </c>
      <c r="I474" t="s">
        <v>363</v>
      </c>
    </row>
    <row r="475" spans="1:9" x14ac:dyDescent="0.25">
      <c r="A475">
        <v>31</v>
      </c>
      <c r="B475" t="s">
        <v>237</v>
      </c>
      <c r="D475" t="s">
        <v>66</v>
      </c>
      <c r="E475">
        <v>235.99</v>
      </c>
      <c r="F475" t="s">
        <v>193</v>
      </c>
      <c r="G475">
        <v>2</v>
      </c>
      <c r="H475">
        <v>0</v>
      </c>
      <c r="I475" t="s">
        <v>87</v>
      </c>
    </row>
    <row r="476" spans="1:9" x14ac:dyDescent="0.25">
      <c r="A476">
        <v>31</v>
      </c>
      <c r="B476" t="s">
        <v>286</v>
      </c>
      <c r="D476" t="s">
        <v>250</v>
      </c>
      <c r="E476">
        <v>72.989999999999995</v>
      </c>
      <c r="F476" t="s">
        <v>195</v>
      </c>
      <c r="G476">
        <v>2</v>
      </c>
      <c r="H476">
        <v>1</v>
      </c>
      <c r="I476" t="s">
        <v>86</v>
      </c>
    </row>
    <row r="477" spans="1:9" x14ac:dyDescent="0.25">
      <c r="A477">
        <v>31</v>
      </c>
      <c r="B477" t="s">
        <v>284</v>
      </c>
      <c r="D477" t="s">
        <v>250</v>
      </c>
      <c r="E477">
        <v>87.99</v>
      </c>
      <c r="F477" t="s">
        <v>195</v>
      </c>
      <c r="G477">
        <v>2</v>
      </c>
      <c r="H477">
        <v>1</v>
      </c>
      <c r="I477" t="s">
        <v>86</v>
      </c>
    </row>
    <row r="478" spans="1:9" x14ac:dyDescent="0.25">
      <c r="A478">
        <v>31</v>
      </c>
      <c r="B478" t="s">
        <v>280</v>
      </c>
      <c r="D478" t="s">
        <v>189</v>
      </c>
      <c r="E478">
        <v>142.99</v>
      </c>
      <c r="F478" t="s">
        <v>196</v>
      </c>
      <c r="G478">
        <v>2</v>
      </c>
      <c r="H478">
        <v>1</v>
      </c>
      <c r="I478" t="s">
        <v>338</v>
      </c>
    </row>
    <row r="479" spans="1:9" x14ac:dyDescent="0.25">
      <c r="A479">
        <v>32</v>
      </c>
      <c r="B479" t="s">
        <v>277</v>
      </c>
      <c r="D479" t="s">
        <v>190</v>
      </c>
      <c r="E479">
        <v>116.99</v>
      </c>
      <c r="F479" t="s">
        <v>196</v>
      </c>
      <c r="G479">
        <v>2</v>
      </c>
      <c r="H479">
        <v>1</v>
      </c>
      <c r="I479" t="s">
        <v>387</v>
      </c>
    </row>
    <row r="480" spans="1:9" x14ac:dyDescent="0.25">
      <c r="A480">
        <v>32</v>
      </c>
      <c r="B480" t="s">
        <v>278</v>
      </c>
      <c r="D480" t="s">
        <v>189</v>
      </c>
      <c r="E480">
        <v>138.99</v>
      </c>
      <c r="F480" t="s">
        <v>196</v>
      </c>
      <c r="G480">
        <v>2</v>
      </c>
      <c r="H480">
        <v>1</v>
      </c>
      <c r="I480" t="s">
        <v>88</v>
      </c>
    </row>
    <row r="481" spans="1:9" x14ac:dyDescent="0.25">
      <c r="A481">
        <v>32</v>
      </c>
      <c r="B481" t="s">
        <v>223</v>
      </c>
      <c r="D481" t="s">
        <v>189</v>
      </c>
      <c r="E481">
        <v>153.99</v>
      </c>
      <c r="F481" t="s">
        <v>195</v>
      </c>
      <c r="G481">
        <v>2</v>
      </c>
      <c r="H481">
        <v>0</v>
      </c>
      <c r="I481" t="s">
        <v>84</v>
      </c>
    </row>
    <row r="482" spans="1:9" x14ac:dyDescent="0.25">
      <c r="A482">
        <v>32</v>
      </c>
      <c r="B482" t="s">
        <v>209</v>
      </c>
      <c r="D482" t="s">
        <v>190</v>
      </c>
      <c r="E482">
        <v>103.99</v>
      </c>
      <c r="F482" t="s">
        <v>193</v>
      </c>
      <c r="G482">
        <v>2</v>
      </c>
      <c r="H482">
        <v>1</v>
      </c>
      <c r="I482" t="s">
        <v>431</v>
      </c>
    </row>
    <row r="483" spans="1:9" x14ac:dyDescent="0.25">
      <c r="A483">
        <v>32</v>
      </c>
      <c r="B483" t="s">
        <v>274</v>
      </c>
      <c r="D483" t="s">
        <v>250</v>
      </c>
      <c r="E483">
        <v>88.99</v>
      </c>
      <c r="F483" t="s">
        <v>193</v>
      </c>
      <c r="G483">
        <v>2</v>
      </c>
      <c r="H483">
        <v>0</v>
      </c>
      <c r="I483" t="s">
        <v>86</v>
      </c>
    </row>
    <row r="484" spans="1:9" x14ac:dyDescent="0.25">
      <c r="A484">
        <v>32</v>
      </c>
      <c r="B484" t="s">
        <v>203</v>
      </c>
      <c r="D484" t="s">
        <v>190</v>
      </c>
      <c r="E484">
        <v>105.99</v>
      </c>
      <c r="F484" t="s">
        <v>195</v>
      </c>
      <c r="G484">
        <v>2</v>
      </c>
      <c r="H484">
        <v>0</v>
      </c>
      <c r="I484" t="s">
        <v>389</v>
      </c>
    </row>
    <row r="485" spans="1:9" x14ac:dyDescent="0.25">
      <c r="A485">
        <v>33</v>
      </c>
      <c r="B485" t="s">
        <v>236</v>
      </c>
      <c r="D485" t="s">
        <v>66</v>
      </c>
      <c r="E485">
        <v>268.99</v>
      </c>
      <c r="F485" t="s">
        <v>193</v>
      </c>
      <c r="G485">
        <v>2</v>
      </c>
      <c r="H485">
        <v>1</v>
      </c>
      <c r="I485" t="s">
        <v>296</v>
      </c>
    </row>
    <row r="486" spans="1:9" x14ac:dyDescent="0.25">
      <c r="A486">
        <v>33</v>
      </c>
      <c r="B486" t="s">
        <v>276</v>
      </c>
      <c r="D486" t="s">
        <v>250</v>
      </c>
      <c r="E486">
        <v>84.99</v>
      </c>
      <c r="F486" t="s">
        <v>196</v>
      </c>
      <c r="G486">
        <v>2</v>
      </c>
      <c r="H486">
        <v>1</v>
      </c>
      <c r="I486" t="s">
        <v>370</v>
      </c>
    </row>
    <row r="487" spans="1:9" x14ac:dyDescent="0.25">
      <c r="A487">
        <v>33</v>
      </c>
      <c r="B487" t="s">
        <v>280</v>
      </c>
      <c r="D487" t="s">
        <v>189</v>
      </c>
      <c r="E487">
        <v>151.99</v>
      </c>
      <c r="F487" t="s">
        <v>196</v>
      </c>
      <c r="G487">
        <v>2</v>
      </c>
      <c r="H487">
        <v>1</v>
      </c>
      <c r="I487" t="s">
        <v>328</v>
      </c>
    </row>
    <row r="488" spans="1:9" x14ac:dyDescent="0.25">
      <c r="A488">
        <v>33</v>
      </c>
      <c r="B488" t="s">
        <v>203</v>
      </c>
      <c r="D488" t="s">
        <v>190</v>
      </c>
      <c r="E488">
        <v>102.99</v>
      </c>
      <c r="F488" t="s">
        <v>195</v>
      </c>
      <c r="G488">
        <v>2</v>
      </c>
      <c r="H488">
        <v>0</v>
      </c>
      <c r="I488" t="s">
        <v>291</v>
      </c>
    </row>
    <row r="489" spans="1:9" x14ac:dyDescent="0.25">
      <c r="A489">
        <v>33</v>
      </c>
      <c r="B489" t="s">
        <v>245</v>
      </c>
      <c r="D489" t="s">
        <v>189</v>
      </c>
      <c r="E489">
        <v>162.99</v>
      </c>
      <c r="F489" t="s">
        <v>195</v>
      </c>
      <c r="G489">
        <v>2</v>
      </c>
      <c r="H489">
        <v>0</v>
      </c>
      <c r="I489" t="s">
        <v>338</v>
      </c>
    </row>
    <row r="490" spans="1:9" x14ac:dyDescent="0.25">
      <c r="A490">
        <v>33</v>
      </c>
      <c r="B490" t="s">
        <v>253</v>
      </c>
      <c r="D490" t="s">
        <v>250</v>
      </c>
      <c r="E490">
        <v>68.989999999999995</v>
      </c>
      <c r="F490" t="s">
        <v>194</v>
      </c>
      <c r="G490">
        <v>4</v>
      </c>
      <c r="H490">
        <v>1</v>
      </c>
      <c r="I490" t="s">
        <v>328</v>
      </c>
    </row>
    <row r="491" spans="1:9" x14ac:dyDescent="0.25">
      <c r="A491">
        <v>33</v>
      </c>
      <c r="B491" t="s">
        <v>264</v>
      </c>
      <c r="D491" t="s">
        <v>250</v>
      </c>
      <c r="E491">
        <v>73.989999999999995</v>
      </c>
      <c r="F491" t="s">
        <v>196</v>
      </c>
      <c r="G491">
        <v>2</v>
      </c>
      <c r="H491">
        <v>1</v>
      </c>
      <c r="I491" t="s">
        <v>85</v>
      </c>
    </row>
    <row r="492" spans="1:9" x14ac:dyDescent="0.25">
      <c r="A492">
        <v>33</v>
      </c>
      <c r="B492" t="s">
        <v>203</v>
      </c>
      <c r="D492" t="s">
        <v>190</v>
      </c>
      <c r="E492">
        <v>136.99</v>
      </c>
      <c r="F492" t="s">
        <v>195</v>
      </c>
      <c r="G492">
        <v>2</v>
      </c>
      <c r="H492">
        <v>0</v>
      </c>
      <c r="I492" t="s">
        <v>344</v>
      </c>
    </row>
    <row r="493" spans="1:9" x14ac:dyDescent="0.25">
      <c r="A493">
        <v>33</v>
      </c>
      <c r="B493" t="s">
        <v>240</v>
      </c>
      <c r="D493" t="s">
        <v>66</v>
      </c>
      <c r="E493">
        <v>252.99</v>
      </c>
      <c r="F493" t="s">
        <v>194</v>
      </c>
      <c r="G493">
        <v>4</v>
      </c>
      <c r="H493">
        <v>0</v>
      </c>
      <c r="I493" t="s">
        <v>388</v>
      </c>
    </row>
    <row r="494" spans="1:9" x14ac:dyDescent="0.25">
      <c r="A494">
        <v>33</v>
      </c>
      <c r="B494" t="s">
        <v>267</v>
      </c>
      <c r="D494" t="s">
        <v>250</v>
      </c>
      <c r="E494">
        <v>81.99</v>
      </c>
      <c r="F494" t="s">
        <v>194</v>
      </c>
      <c r="G494">
        <v>4</v>
      </c>
      <c r="H494">
        <v>1</v>
      </c>
      <c r="I494" t="s">
        <v>500</v>
      </c>
    </row>
    <row r="495" spans="1:9" x14ac:dyDescent="0.25">
      <c r="A495">
        <v>33</v>
      </c>
      <c r="B495" t="s">
        <v>218</v>
      </c>
      <c r="D495" t="s">
        <v>190</v>
      </c>
      <c r="E495">
        <v>118.99</v>
      </c>
      <c r="F495" t="s">
        <v>193</v>
      </c>
      <c r="G495">
        <v>2</v>
      </c>
      <c r="H495">
        <v>1</v>
      </c>
      <c r="I495" t="s">
        <v>307</v>
      </c>
    </row>
    <row r="496" spans="1:9" x14ac:dyDescent="0.25">
      <c r="A496">
        <v>33</v>
      </c>
      <c r="B496" t="s">
        <v>263</v>
      </c>
      <c r="D496" t="s">
        <v>190</v>
      </c>
      <c r="E496">
        <v>103.99</v>
      </c>
      <c r="F496" t="s">
        <v>196</v>
      </c>
      <c r="G496">
        <v>2</v>
      </c>
      <c r="H496">
        <v>0</v>
      </c>
      <c r="I496" t="s">
        <v>298</v>
      </c>
    </row>
    <row r="497" spans="1:9" x14ac:dyDescent="0.25">
      <c r="A497">
        <v>33</v>
      </c>
      <c r="B497" t="s">
        <v>262</v>
      </c>
      <c r="D497" t="s">
        <v>66</v>
      </c>
      <c r="E497">
        <v>260.99</v>
      </c>
      <c r="F497" t="s">
        <v>196</v>
      </c>
      <c r="G497">
        <v>2</v>
      </c>
      <c r="H497">
        <v>0</v>
      </c>
      <c r="I497" t="s">
        <v>322</v>
      </c>
    </row>
    <row r="498" spans="1:9" x14ac:dyDescent="0.25">
      <c r="A498">
        <v>33</v>
      </c>
      <c r="B498" t="s">
        <v>212</v>
      </c>
      <c r="D498" t="s">
        <v>189</v>
      </c>
      <c r="E498">
        <v>167.99</v>
      </c>
      <c r="F498" t="s">
        <v>193</v>
      </c>
      <c r="G498">
        <v>2</v>
      </c>
      <c r="H498">
        <v>0</v>
      </c>
      <c r="I498" t="s">
        <v>425</v>
      </c>
    </row>
    <row r="499" spans="1:9" x14ac:dyDescent="0.25">
      <c r="A499">
        <v>33</v>
      </c>
      <c r="B499" t="s">
        <v>274</v>
      </c>
      <c r="D499" t="s">
        <v>250</v>
      </c>
      <c r="E499">
        <v>62.99</v>
      </c>
      <c r="F499" t="s">
        <v>193</v>
      </c>
      <c r="G499">
        <v>2</v>
      </c>
      <c r="H499">
        <v>0</v>
      </c>
      <c r="I499" t="s">
        <v>330</v>
      </c>
    </row>
    <row r="500" spans="1:9" x14ac:dyDescent="0.25">
      <c r="A500">
        <v>33</v>
      </c>
      <c r="B500" t="s">
        <v>270</v>
      </c>
      <c r="D500" t="s">
        <v>250</v>
      </c>
      <c r="E500">
        <v>75.989999999999995</v>
      </c>
      <c r="F500" t="s">
        <v>193</v>
      </c>
      <c r="G500">
        <v>2</v>
      </c>
      <c r="H500">
        <v>0</v>
      </c>
      <c r="I500" t="s">
        <v>338</v>
      </c>
    </row>
    <row r="501" spans="1:9" x14ac:dyDescent="0.25">
      <c r="A501">
        <v>33</v>
      </c>
      <c r="B501" t="s">
        <v>277</v>
      </c>
      <c r="D501" t="s">
        <v>190</v>
      </c>
      <c r="E501">
        <v>126.99</v>
      </c>
      <c r="F501" t="s">
        <v>196</v>
      </c>
      <c r="G501">
        <v>2</v>
      </c>
      <c r="H501">
        <v>0</v>
      </c>
      <c r="I501" t="s">
        <v>501</v>
      </c>
    </row>
    <row r="502" spans="1:9" x14ac:dyDescent="0.25">
      <c r="A502">
        <v>33</v>
      </c>
      <c r="B502" t="s">
        <v>236</v>
      </c>
      <c r="D502" t="s">
        <v>66</v>
      </c>
      <c r="E502">
        <v>264.99</v>
      </c>
      <c r="F502" t="s">
        <v>193</v>
      </c>
      <c r="G502">
        <v>2</v>
      </c>
      <c r="H502">
        <v>1</v>
      </c>
      <c r="I502" t="s">
        <v>328</v>
      </c>
    </row>
    <row r="503" spans="1:9" x14ac:dyDescent="0.25">
      <c r="A503">
        <v>34</v>
      </c>
      <c r="B503" t="s">
        <v>269</v>
      </c>
      <c r="D503" t="s">
        <v>250</v>
      </c>
      <c r="E503">
        <v>93.99</v>
      </c>
      <c r="F503" t="s">
        <v>196</v>
      </c>
      <c r="G503">
        <v>2</v>
      </c>
      <c r="H503">
        <v>1</v>
      </c>
      <c r="I503" t="s">
        <v>333</v>
      </c>
    </row>
    <row r="504" spans="1:9" x14ac:dyDescent="0.25">
      <c r="A504">
        <v>34</v>
      </c>
      <c r="B504" t="s">
        <v>235</v>
      </c>
      <c r="D504" t="s">
        <v>66</v>
      </c>
      <c r="E504">
        <v>266.99</v>
      </c>
      <c r="F504" t="s">
        <v>194</v>
      </c>
      <c r="G504">
        <v>4</v>
      </c>
      <c r="H504">
        <v>1</v>
      </c>
      <c r="I504" t="s">
        <v>502</v>
      </c>
    </row>
    <row r="505" spans="1:9" x14ac:dyDescent="0.25">
      <c r="A505">
        <v>34</v>
      </c>
      <c r="B505" t="s">
        <v>211</v>
      </c>
      <c r="D505" t="s">
        <v>189</v>
      </c>
      <c r="E505">
        <v>143.99</v>
      </c>
      <c r="F505" t="s">
        <v>195</v>
      </c>
      <c r="G505">
        <v>2</v>
      </c>
      <c r="H505">
        <v>1</v>
      </c>
      <c r="I505" t="s">
        <v>372</v>
      </c>
    </row>
    <row r="506" spans="1:9" x14ac:dyDescent="0.25">
      <c r="A506">
        <v>34</v>
      </c>
      <c r="B506" t="s">
        <v>280</v>
      </c>
      <c r="D506" t="s">
        <v>189</v>
      </c>
      <c r="E506">
        <v>143.99</v>
      </c>
      <c r="F506" t="s">
        <v>196</v>
      </c>
      <c r="G506">
        <v>2</v>
      </c>
      <c r="H506">
        <v>0</v>
      </c>
      <c r="I506" t="s">
        <v>475</v>
      </c>
    </row>
    <row r="507" spans="1:9" x14ac:dyDescent="0.25">
      <c r="A507">
        <v>34</v>
      </c>
      <c r="B507" t="s">
        <v>284</v>
      </c>
      <c r="D507" t="s">
        <v>250</v>
      </c>
      <c r="E507">
        <v>91.99</v>
      </c>
      <c r="F507" t="s">
        <v>195</v>
      </c>
      <c r="G507">
        <v>2</v>
      </c>
      <c r="H507">
        <v>0</v>
      </c>
      <c r="I507" t="s">
        <v>375</v>
      </c>
    </row>
    <row r="508" spans="1:9" x14ac:dyDescent="0.25">
      <c r="A508">
        <v>34</v>
      </c>
      <c r="B508" t="s">
        <v>267</v>
      </c>
      <c r="D508" t="s">
        <v>250</v>
      </c>
      <c r="E508">
        <v>92.99</v>
      </c>
      <c r="F508" t="s">
        <v>194</v>
      </c>
      <c r="G508">
        <v>4</v>
      </c>
      <c r="H508">
        <v>1</v>
      </c>
      <c r="I508" t="s">
        <v>317</v>
      </c>
    </row>
    <row r="509" spans="1:9" x14ac:dyDescent="0.25">
      <c r="A509">
        <v>34</v>
      </c>
      <c r="B509" t="s">
        <v>224</v>
      </c>
      <c r="D509" t="s">
        <v>190</v>
      </c>
      <c r="E509">
        <v>136.99</v>
      </c>
      <c r="F509" t="s">
        <v>194</v>
      </c>
      <c r="G509">
        <v>4</v>
      </c>
      <c r="H509">
        <v>1</v>
      </c>
      <c r="I509" t="s">
        <v>332</v>
      </c>
    </row>
    <row r="510" spans="1:9" x14ac:dyDescent="0.25">
      <c r="A510">
        <v>34</v>
      </c>
      <c r="B510" t="s">
        <v>243</v>
      </c>
      <c r="D510" t="s">
        <v>66</v>
      </c>
      <c r="E510">
        <v>255.99</v>
      </c>
      <c r="F510" t="s">
        <v>195</v>
      </c>
      <c r="G510">
        <v>2</v>
      </c>
      <c r="H510">
        <v>1</v>
      </c>
      <c r="I510" t="s">
        <v>86</v>
      </c>
    </row>
    <row r="511" spans="1:9" x14ac:dyDescent="0.25">
      <c r="A511">
        <v>34</v>
      </c>
      <c r="B511" t="s">
        <v>240</v>
      </c>
      <c r="D511" t="s">
        <v>66</v>
      </c>
      <c r="E511">
        <v>250.99</v>
      </c>
      <c r="F511" t="s">
        <v>194</v>
      </c>
      <c r="G511">
        <v>4</v>
      </c>
      <c r="H511">
        <v>1</v>
      </c>
      <c r="I511" t="s">
        <v>373</v>
      </c>
    </row>
    <row r="512" spans="1:9" x14ac:dyDescent="0.25">
      <c r="A512">
        <v>34</v>
      </c>
      <c r="B512" t="s">
        <v>239</v>
      </c>
      <c r="D512" t="s">
        <v>66</v>
      </c>
      <c r="E512">
        <v>245.99</v>
      </c>
      <c r="F512" t="s">
        <v>195</v>
      </c>
      <c r="G512">
        <v>2</v>
      </c>
      <c r="H512">
        <v>1</v>
      </c>
      <c r="I512" t="s">
        <v>341</v>
      </c>
    </row>
    <row r="513" spans="1:9" x14ac:dyDescent="0.25">
      <c r="A513">
        <v>34</v>
      </c>
      <c r="B513" t="s">
        <v>227</v>
      </c>
      <c r="D513" t="s">
        <v>189</v>
      </c>
      <c r="E513">
        <v>134.99</v>
      </c>
      <c r="F513" t="s">
        <v>194</v>
      </c>
      <c r="G513">
        <v>4</v>
      </c>
      <c r="H513">
        <v>1</v>
      </c>
      <c r="I513" t="s">
        <v>82</v>
      </c>
    </row>
    <row r="514" spans="1:9" x14ac:dyDescent="0.25">
      <c r="A514">
        <v>34</v>
      </c>
      <c r="B514" t="s">
        <v>278</v>
      </c>
      <c r="D514" t="s">
        <v>189</v>
      </c>
      <c r="E514">
        <v>158.99</v>
      </c>
      <c r="F514" t="s">
        <v>196</v>
      </c>
      <c r="G514">
        <v>2</v>
      </c>
      <c r="H514">
        <v>1</v>
      </c>
      <c r="I514" t="s">
        <v>86</v>
      </c>
    </row>
    <row r="515" spans="1:9" x14ac:dyDescent="0.25">
      <c r="A515">
        <v>34</v>
      </c>
      <c r="B515" t="s">
        <v>241</v>
      </c>
      <c r="D515" t="s">
        <v>66</v>
      </c>
      <c r="E515">
        <v>255.99</v>
      </c>
      <c r="F515" t="s">
        <v>193</v>
      </c>
      <c r="G515">
        <v>2</v>
      </c>
      <c r="H515">
        <v>1</v>
      </c>
      <c r="I515" t="s">
        <v>311</v>
      </c>
    </row>
    <row r="516" spans="1:9" x14ac:dyDescent="0.25">
      <c r="A516">
        <v>34</v>
      </c>
      <c r="B516" t="s">
        <v>264</v>
      </c>
      <c r="D516" t="s">
        <v>250</v>
      </c>
      <c r="E516">
        <v>92.99</v>
      </c>
      <c r="F516" t="s">
        <v>196</v>
      </c>
      <c r="G516">
        <v>2</v>
      </c>
      <c r="H516">
        <v>0</v>
      </c>
      <c r="I516" t="s">
        <v>344</v>
      </c>
    </row>
    <row r="517" spans="1:9" x14ac:dyDescent="0.25">
      <c r="A517">
        <v>34</v>
      </c>
      <c r="B517" t="s">
        <v>283</v>
      </c>
      <c r="D517" t="s">
        <v>189</v>
      </c>
      <c r="E517">
        <v>141.99</v>
      </c>
      <c r="F517" t="s">
        <v>196</v>
      </c>
      <c r="G517">
        <v>2</v>
      </c>
      <c r="H517">
        <v>0</v>
      </c>
      <c r="I517" t="s">
        <v>503</v>
      </c>
    </row>
    <row r="518" spans="1:9" x14ac:dyDescent="0.25">
      <c r="A518">
        <v>34</v>
      </c>
      <c r="B518" t="s">
        <v>247</v>
      </c>
      <c r="D518" t="s">
        <v>190</v>
      </c>
      <c r="E518">
        <v>116.99</v>
      </c>
      <c r="F518" t="s">
        <v>194</v>
      </c>
      <c r="G518">
        <v>4</v>
      </c>
      <c r="H518">
        <v>0</v>
      </c>
      <c r="I518" t="s">
        <v>87</v>
      </c>
    </row>
    <row r="519" spans="1:9" x14ac:dyDescent="0.25">
      <c r="A519">
        <v>35</v>
      </c>
      <c r="B519" t="s">
        <v>274</v>
      </c>
      <c r="D519" t="s">
        <v>250</v>
      </c>
      <c r="E519">
        <v>88.99</v>
      </c>
      <c r="F519" t="s">
        <v>193</v>
      </c>
      <c r="G519">
        <v>2</v>
      </c>
      <c r="H519">
        <v>1</v>
      </c>
      <c r="I519" t="s">
        <v>461</v>
      </c>
    </row>
    <row r="520" spans="1:9" x14ac:dyDescent="0.25">
      <c r="A520">
        <v>35</v>
      </c>
      <c r="B520" t="s">
        <v>284</v>
      </c>
      <c r="D520" t="s">
        <v>250</v>
      </c>
      <c r="E520">
        <v>70.989999999999995</v>
      </c>
      <c r="F520" t="s">
        <v>195</v>
      </c>
      <c r="G520">
        <v>2</v>
      </c>
      <c r="H520">
        <v>1</v>
      </c>
      <c r="I520" t="s">
        <v>299</v>
      </c>
    </row>
    <row r="521" spans="1:9" x14ac:dyDescent="0.25">
      <c r="A521">
        <v>35</v>
      </c>
      <c r="B521" t="s">
        <v>251</v>
      </c>
      <c r="D521" t="s">
        <v>189</v>
      </c>
      <c r="E521">
        <v>158.99</v>
      </c>
      <c r="F521" t="s">
        <v>196</v>
      </c>
      <c r="G521">
        <v>2</v>
      </c>
      <c r="H521">
        <v>1</v>
      </c>
      <c r="I521" t="s">
        <v>312</v>
      </c>
    </row>
    <row r="522" spans="1:9" x14ac:dyDescent="0.25">
      <c r="A522">
        <v>35</v>
      </c>
      <c r="B522" t="s">
        <v>264</v>
      </c>
      <c r="D522" t="s">
        <v>250</v>
      </c>
      <c r="E522">
        <v>75.989999999999995</v>
      </c>
      <c r="F522" t="s">
        <v>196</v>
      </c>
      <c r="G522">
        <v>2</v>
      </c>
      <c r="H522">
        <v>0</v>
      </c>
      <c r="I522" t="s">
        <v>86</v>
      </c>
    </row>
    <row r="523" spans="1:9" x14ac:dyDescent="0.25">
      <c r="A523">
        <v>35</v>
      </c>
      <c r="B523" t="s">
        <v>263</v>
      </c>
      <c r="D523" t="s">
        <v>190</v>
      </c>
      <c r="E523">
        <v>125.99</v>
      </c>
      <c r="F523" t="s">
        <v>196</v>
      </c>
      <c r="G523">
        <v>2</v>
      </c>
      <c r="H523">
        <v>1</v>
      </c>
      <c r="I523" t="s">
        <v>293</v>
      </c>
    </row>
    <row r="524" spans="1:9" x14ac:dyDescent="0.25">
      <c r="A524">
        <v>35</v>
      </c>
      <c r="B524" t="s">
        <v>239</v>
      </c>
      <c r="D524" t="s">
        <v>66</v>
      </c>
      <c r="E524">
        <v>267.99</v>
      </c>
      <c r="F524" t="s">
        <v>195</v>
      </c>
      <c r="G524">
        <v>2</v>
      </c>
      <c r="H524">
        <v>1</v>
      </c>
      <c r="I524" t="s">
        <v>315</v>
      </c>
    </row>
    <row r="525" spans="1:9" x14ac:dyDescent="0.25">
      <c r="A525">
        <v>35</v>
      </c>
      <c r="B525" t="s">
        <v>205</v>
      </c>
      <c r="D525" t="s">
        <v>189</v>
      </c>
      <c r="E525">
        <v>166.99</v>
      </c>
      <c r="F525" t="s">
        <v>193</v>
      </c>
      <c r="G525">
        <v>2</v>
      </c>
      <c r="H525">
        <v>0</v>
      </c>
      <c r="I525" t="s">
        <v>297</v>
      </c>
    </row>
    <row r="526" spans="1:9" x14ac:dyDescent="0.25">
      <c r="A526">
        <v>35</v>
      </c>
      <c r="B526" t="s">
        <v>273</v>
      </c>
      <c r="D526" t="s">
        <v>66</v>
      </c>
      <c r="E526">
        <v>269.99</v>
      </c>
      <c r="F526" t="s">
        <v>196</v>
      </c>
      <c r="G526">
        <v>2</v>
      </c>
      <c r="H526">
        <v>0</v>
      </c>
      <c r="I526" t="s">
        <v>82</v>
      </c>
    </row>
    <row r="527" spans="1:9" x14ac:dyDescent="0.25">
      <c r="A527">
        <v>35</v>
      </c>
      <c r="B527" t="s">
        <v>204</v>
      </c>
      <c r="D527" t="s">
        <v>66</v>
      </c>
      <c r="E527">
        <v>242.99</v>
      </c>
      <c r="F527" t="s">
        <v>193</v>
      </c>
      <c r="G527">
        <v>2</v>
      </c>
      <c r="H527">
        <v>1</v>
      </c>
      <c r="I527" t="s">
        <v>427</v>
      </c>
    </row>
    <row r="528" spans="1:9" x14ac:dyDescent="0.25">
      <c r="A528">
        <v>35</v>
      </c>
      <c r="B528" t="s">
        <v>214</v>
      </c>
      <c r="D528" t="s">
        <v>66</v>
      </c>
      <c r="E528">
        <v>268.99</v>
      </c>
      <c r="F528" t="s">
        <v>195</v>
      </c>
      <c r="G528">
        <v>2</v>
      </c>
      <c r="H528">
        <v>0</v>
      </c>
      <c r="I528" t="s">
        <v>350</v>
      </c>
    </row>
    <row r="529" spans="1:9" x14ac:dyDescent="0.25">
      <c r="A529">
        <v>35</v>
      </c>
      <c r="B529" t="s">
        <v>219</v>
      </c>
      <c r="D529" t="s">
        <v>189</v>
      </c>
      <c r="E529">
        <v>159.99</v>
      </c>
      <c r="F529" t="s">
        <v>193</v>
      </c>
      <c r="G529">
        <v>2</v>
      </c>
      <c r="H529">
        <v>0</v>
      </c>
      <c r="I529" t="s">
        <v>297</v>
      </c>
    </row>
    <row r="530" spans="1:9" x14ac:dyDescent="0.25">
      <c r="A530">
        <v>35</v>
      </c>
      <c r="B530" t="s">
        <v>245</v>
      </c>
      <c r="D530" t="s">
        <v>189</v>
      </c>
      <c r="E530">
        <v>157.99</v>
      </c>
      <c r="F530" t="s">
        <v>195</v>
      </c>
      <c r="G530">
        <v>2</v>
      </c>
      <c r="H530">
        <v>1</v>
      </c>
      <c r="I530" t="s">
        <v>83</v>
      </c>
    </row>
    <row r="531" spans="1:9" x14ac:dyDescent="0.25">
      <c r="A531">
        <v>35</v>
      </c>
      <c r="B531" t="s">
        <v>216</v>
      </c>
      <c r="D531" t="s">
        <v>190</v>
      </c>
      <c r="E531">
        <v>123.99</v>
      </c>
      <c r="F531" t="s">
        <v>194</v>
      </c>
      <c r="G531">
        <v>4</v>
      </c>
      <c r="H531">
        <v>1</v>
      </c>
      <c r="I531" t="s">
        <v>83</v>
      </c>
    </row>
    <row r="532" spans="1:9" x14ac:dyDescent="0.25">
      <c r="A532">
        <v>35</v>
      </c>
      <c r="B532" t="s">
        <v>262</v>
      </c>
      <c r="D532" t="s">
        <v>66</v>
      </c>
      <c r="E532">
        <v>263.99</v>
      </c>
      <c r="F532" t="s">
        <v>196</v>
      </c>
      <c r="G532">
        <v>2</v>
      </c>
      <c r="H532">
        <v>0</v>
      </c>
      <c r="I532" t="s">
        <v>389</v>
      </c>
    </row>
    <row r="533" spans="1:9" x14ac:dyDescent="0.25">
      <c r="A533">
        <v>35</v>
      </c>
      <c r="B533" t="s">
        <v>263</v>
      </c>
      <c r="D533" t="s">
        <v>190</v>
      </c>
      <c r="E533">
        <v>125.99</v>
      </c>
      <c r="F533" t="s">
        <v>196</v>
      </c>
      <c r="G533">
        <v>2</v>
      </c>
      <c r="H533">
        <v>0</v>
      </c>
      <c r="I533" t="s">
        <v>375</v>
      </c>
    </row>
    <row r="534" spans="1:9" x14ac:dyDescent="0.25">
      <c r="A534">
        <v>35</v>
      </c>
      <c r="B534" t="s">
        <v>237</v>
      </c>
      <c r="D534" t="s">
        <v>66</v>
      </c>
      <c r="E534">
        <v>250.99</v>
      </c>
      <c r="F534" t="s">
        <v>193</v>
      </c>
      <c r="G534">
        <v>2</v>
      </c>
      <c r="H534">
        <v>0</v>
      </c>
      <c r="I534" t="s">
        <v>424</v>
      </c>
    </row>
    <row r="535" spans="1:9" x14ac:dyDescent="0.25">
      <c r="A535">
        <v>36</v>
      </c>
      <c r="B535" t="s">
        <v>283</v>
      </c>
      <c r="D535" t="s">
        <v>189</v>
      </c>
      <c r="E535">
        <v>148.99</v>
      </c>
      <c r="F535" t="s">
        <v>196</v>
      </c>
      <c r="G535">
        <v>2</v>
      </c>
      <c r="H535">
        <v>0</v>
      </c>
      <c r="I535" t="s">
        <v>390</v>
      </c>
    </row>
    <row r="536" spans="1:9" x14ac:dyDescent="0.25">
      <c r="A536">
        <v>36</v>
      </c>
      <c r="B536" t="s">
        <v>267</v>
      </c>
      <c r="D536" t="s">
        <v>250</v>
      </c>
      <c r="E536">
        <v>72.989999999999995</v>
      </c>
      <c r="F536" t="s">
        <v>194</v>
      </c>
      <c r="G536">
        <v>4</v>
      </c>
      <c r="H536">
        <v>1</v>
      </c>
      <c r="I536" t="s">
        <v>296</v>
      </c>
    </row>
    <row r="537" spans="1:9" x14ac:dyDescent="0.25">
      <c r="A537">
        <v>36</v>
      </c>
      <c r="B537" t="s">
        <v>245</v>
      </c>
      <c r="D537" t="s">
        <v>189</v>
      </c>
      <c r="E537">
        <v>156.99</v>
      </c>
      <c r="F537" t="s">
        <v>195</v>
      </c>
      <c r="G537">
        <v>2</v>
      </c>
      <c r="H537">
        <v>1</v>
      </c>
      <c r="I537" t="s">
        <v>365</v>
      </c>
    </row>
    <row r="538" spans="1:9" x14ac:dyDescent="0.25">
      <c r="A538">
        <v>36</v>
      </c>
      <c r="B538" t="s">
        <v>255</v>
      </c>
      <c r="D538" t="s">
        <v>250</v>
      </c>
      <c r="E538">
        <v>62.99</v>
      </c>
      <c r="F538" t="s">
        <v>195</v>
      </c>
      <c r="G538">
        <v>2</v>
      </c>
      <c r="H538">
        <v>1</v>
      </c>
      <c r="I538" t="s">
        <v>352</v>
      </c>
    </row>
    <row r="539" spans="1:9" x14ac:dyDescent="0.25">
      <c r="A539">
        <v>36</v>
      </c>
      <c r="B539" t="s">
        <v>275</v>
      </c>
      <c r="D539" t="s">
        <v>250</v>
      </c>
      <c r="E539">
        <v>94.99</v>
      </c>
      <c r="F539" t="s">
        <v>194</v>
      </c>
      <c r="G539">
        <v>4</v>
      </c>
      <c r="H539">
        <v>0</v>
      </c>
      <c r="I539" t="s">
        <v>499</v>
      </c>
    </row>
    <row r="540" spans="1:9" x14ac:dyDescent="0.25">
      <c r="A540">
        <v>36</v>
      </c>
      <c r="B540" t="s">
        <v>207</v>
      </c>
      <c r="D540" t="s">
        <v>190</v>
      </c>
      <c r="E540">
        <v>133.99</v>
      </c>
      <c r="F540" t="s">
        <v>193</v>
      </c>
      <c r="G540">
        <v>2</v>
      </c>
      <c r="H540">
        <v>0</v>
      </c>
      <c r="I540" t="s">
        <v>82</v>
      </c>
    </row>
    <row r="541" spans="1:9" x14ac:dyDescent="0.25">
      <c r="A541">
        <v>36</v>
      </c>
      <c r="B541" t="s">
        <v>280</v>
      </c>
      <c r="D541" t="s">
        <v>189</v>
      </c>
      <c r="E541">
        <v>166.99</v>
      </c>
      <c r="F541" t="s">
        <v>196</v>
      </c>
      <c r="G541">
        <v>2</v>
      </c>
      <c r="H541">
        <v>1</v>
      </c>
      <c r="I541" t="s">
        <v>85</v>
      </c>
    </row>
    <row r="542" spans="1:9" x14ac:dyDescent="0.25">
      <c r="A542">
        <v>36</v>
      </c>
      <c r="B542" t="s">
        <v>228</v>
      </c>
      <c r="D542" t="s">
        <v>189</v>
      </c>
      <c r="E542">
        <v>168.99</v>
      </c>
      <c r="F542" t="s">
        <v>194</v>
      </c>
      <c r="G542">
        <v>4</v>
      </c>
      <c r="H542">
        <v>1</v>
      </c>
      <c r="I542" t="s">
        <v>82</v>
      </c>
    </row>
    <row r="543" spans="1:9" x14ac:dyDescent="0.25">
      <c r="A543">
        <v>36</v>
      </c>
      <c r="B543" t="s">
        <v>247</v>
      </c>
      <c r="D543" t="s">
        <v>190</v>
      </c>
      <c r="E543">
        <v>130.99</v>
      </c>
      <c r="F543" t="s">
        <v>194</v>
      </c>
      <c r="G543">
        <v>4</v>
      </c>
      <c r="H543">
        <v>1</v>
      </c>
      <c r="I543" t="s">
        <v>84</v>
      </c>
    </row>
    <row r="544" spans="1:9" x14ac:dyDescent="0.25">
      <c r="A544">
        <v>36</v>
      </c>
      <c r="B544" t="s">
        <v>277</v>
      </c>
      <c r="D544" t="s">
        <v>190</v>
      </c>
      <c r="E544">
        <v>100.99</v>
      </c>
      <c r="F544" t="s">
        <v>196</v>
      </c>
      <c r="G544">
        <v>2</v>
      </c>
      <c r="H544">
        <v>0</v>
      </c>
      <c r="I544" t="s">
        <v>355</v>
      </c>
    </row>
    <row r="545" spans="1:9" x14ac:dyDescent="0.25">
      <c r="A545">
        <v>36</v>
      </c>
      <c r="B545" t="s">
        <v>206</v>
      </c>
      <c r="D545" t="s">
        <v>189</v>
      </c>
      <c r="E545">
        <v>136.99</v>
      </c>
      <c r="F545" t="s">
        <v>194</v>
      </c>
      <c r="G545">
        <v>4</v>
      </c>
      <c r="H545">
        <v>1</v>
      </c>
      <c r="I545" t="s">
        <v>343</v>
      </c>
    </row>
    <row r="546" spans="1:9" x14ac:dyDescent="0.25">
      <c r="A546">
        <v>36</v>
      </c>
      <c r="B546" t="s">
        <v>251</v>
      </c>
      <c r="D546" t="s">
        <v>189</v>
      </c>
      <c r="E546">
        <v>149.99</v>
      </c>
      <c r="F546" t="s">
        <v>196</v>
      </c>
      <c r="G546">
        <v>2</v>
      </c>
      <c r="H546">
        <v>0</v>
      </c>
      <c r="I546" t="s">
        <v>82</v>
      </c>
    </row>
    <row r="547" spans="1:9" x14ac:dyDescent="0.25">
      <c r="A547">
        <v>37</v>
      </c>
      <c r="B547" t="s">
        <v>271</v>
      </c>
      <c r="D547" t="s">
        <v>250</v>
      </c>
      <c r="E547">
        <v>78.989999999999995</v>
      </c>
      <c r="F547" t="s">
        <v>193</v>
      </c>
      <c r="G547">
        <v>2</v>
      </c>
      <c r="H547">
        <v>0</v>
      </c>
      <c r="I547" t="s">
        <v>86</v>
      </c>
    </row>
    <row r="548" spans="1:9" x14ac:dyDescent="0.25">
      <c r="A548">
        <v>37</v>
      </c>
      <c r="B548" t="s">
        <v>207</v>
      </c>
      <c r="D548" t="s">
        <v>190</v>
      </c>
      <c r="E548">
        <v>118.99</v>
      </c>
      <c r="F548" t="s">
        <v>193</v>
      </c>
      <c r="G548">
        <v>2</v>
      </c>
      <c r="H548">
        <v>0</v>
      </c>
      <c r="I548" t="s">
        <v>321</v>
      </c>
    </row>
    <row r="549" spans="1:9" x14ac:dyDescent="0.25">
      <c r="A549">
        <v>37</v>
      </c>
      <c r="B549" t="s">
        <v>206</v>
      </c>
      <c r="D549" t="s">
        <v>189</v>
      </c>
      <c r="E549">
        <v>161.99</v>
      </c>
      <c r="F549" t="s">
        <v>194</v>
      </c>
      <c r="G549">
        <v>4</v>
      </c>
      <c r="H549">
        <v>1</v>
      </c>
      <c r="I549" t="s">
        <v>360</v>
      </c>
    </row>
    <row r="550" spans="1:9" x14ac:dyDescent="0.25">
      <c r="A550">
        <v>37</v>
      </c>
      <c r="B550" t="s">
        <v>262</v>
      </c>
      <c r="D550" t="s">
        <v>66</v>
      </c>
      <c r="E550">
        <v>247.99</v>
      </c>
      <c r="F550" t="s">
        <v>196</v>
      </c>
      <c r="G550">
        <v>2</v>
      </c>
      <c r="H550">
        <v>0</v>
      </c>
      <c r="I550" t="s">
        <v>83</v>
      </c>
    </row>
    <row r="551" spans="1:9" x14ac:dyDescent="0.25">
      <c r="A551">
        <v>37</v>
      </c>
      <c r="B551" t="s">
        <v>229</v>
      </c>
      <c r="D551" t="s">
        <v>66</v>
      </c>
      <c r="E551">
        <v>231.99</v>
      </c>
      <c r="F551" t="s">
        <v>194</v>
      </c>
      <c r="G551">
        <v>4</v>
      </c>
      <c r="H551">
        <v>0</v>
      </c>
      <c r="I551" t="s">
        <v>304</v>
      </c>
    </row>
    <row r="552" spans="1:9" x14ac:dyDescent="0.25">
      <c r="A552">
        <v>37</v>
      </c>
      <c r="B552" t="s">
        <v>243</v>
      </c>
      <c r="D552" t="s">
        <v>66</v>
      </c>
      <c r="E552">
        <v>240.99</v>
      </c>
      <c r="F552" t="s">
        <v>195</v>
      </c>
      <c r="G552">
        <v>2</v>
      </c>
      <c r="H552">
        <v>0</v>
      </c>
      <c r="I552" t="s">
        <v>439</v>
      </c>
    </row>
    <row r="553" spans="1:9" x14ac:dyDescent="0.25">
      <c r="A553">
        <v>37</v>
      </c>
      <c r="B553" t="s">
        <v>282</v>
      </c>
      <c r="D553" t="s">
        <v>250</v>
      </c>
      <c r="E553">
        <v>92.99</v>
      </c>
      <c r="F553" t="s">
        <v>196</v>
      </c>
      <c r="G553">
        <v>2</v>
      </c>
      <c r="H553">
        <v>1</v>
      </c>
      <c r="I553" t="s">
        <v>354</v>
      </c>
    </row>
    <row r="554" spans="1:9" x14ac:dyDescent="0.25">
      <c r="A554">
        <v>37</v>
      </c>
      <c r="B554" t="s">
        <v>245</v>
      </c>
      <c r="D554" t="s">
        <v>189</v>
      </c>
      <c r="E554">
        <v>148.99</v>
      </c>
      <c r="F554" t="s">
        <v>195</v>
      </c>
      <c r="G554">
        <v>2</v>
      </c>
      <c r="H554">
        <v>0</v>
      </c>
      <c r="I554" t="s">
        <v>358</v>
      </c>
    </row>
    <row r="555" spans="1:9" x14ac:dyDescent="0.25">
      <c r="A555">
        <v>37</v>
      </c>
      <c r="B555" t="s">
        <v>219</v>
      </c>
      <c r="D555" t="s">
        <v>189</v>
      </c>
      <c r="E555">
        <v>138.99</v>
      </c>
      <c r="F555" t="s">
        <v>193</v>
      </c>
      <c r="G555">
        <v>2</v>
      </c>
      <c r="H555">
        <v>1</v>
      </c>
      <c r="I555" t="s">
        <v>454</v>
      </c>
    </row>
    <row r="556" spans="1:9" x14ac:dyDescent="0.25">
      <c r="A556">
        <v>37</v>
      </c>
      <c r="B556" t="s">
        <v>253</v>
      </c>
      <c r="D556" t="s">
        <v>250</v>
      </c>
      <c r="E556">
        <v>66.989999999999995</v>
      </c>
      <c r="F556" t="s">
        <v>194</v>
      </c>
      <c r="G556">
        <v>4</v>
      </c>
      <c r="H556">
        <v>0</v>
      </c>
      <c r="I556" t="s">
        <v>397</v>
      </c>
    </row>
    <row r="557" spans="1:9" x14ac:dyDescent="0.25">
      <c r="A557">
        <v>37</v>
      </c>
      <c r="B557" t="s">
        <v>224</v>
      </c>
      <c r="D557" t="s">
        <v>190</v>
      </c>
      <c r="E557">
        <v>120.99</v>
      </c>
      <c r="F557" t="s">
        <v>194</v>
      </c>
      <c r="G557">
        <v>4</v>
      </c>
      <c r="H557">
        <v>0</v>
      </c>
      <c r="I557" t="s">
        <v>398</v>
      </c>
    </row>
    <row r="558" spans="1:9" x14ac:dyDescent="0.25">
      <c r="A558">
        <v>37</v>
      </c>
      <c r="B558" t="s">
        <v>267</v>
      </c>
      <c r="D558" t="s">
        <v>250</v>
      </c>
      <c r="E558">
        <v>89.99</v>
      </c>
      <c r="F558" t="s">
        <v>194</v>
      </c>
      <c r="G558">
        <v>4</v>
      </c>
      <c r="H558">
        <v>0</v>
      </c>
      <c r="I558" t="s">
        <v>504</v>
      </c>
    </row>
    <row r="559" spans="1:9" x14ac:dyDescent="0.25">
      <c r="A559">
        <v>37</v>
      </c>
      <c r="B559" t="s">
        <v>240</v>
      </c>
      <c r="D559" t="s">
        <v>66</v>
      </c>
      <c r="E559">
        <v>253.99</v>
      </c>
      <c r="F559" t="s">
        <v>194</v>
      </c>
      <c r="G559">
        <v>4</v>
      </c>
      <c r="H559">
        <v>0</v>
      </c>
      <c r="I559" t="s">
        <v>346</v>
      </c>
    </row>
    <row r="560" spans="1:9" x14ac:dyDescent="0.25">
      <c r="A560">
        <v>37</v>
      </c>
      <c r="B560" t="s">
        <v>269</v>
      </c>
      <c r="D560" t="s">
        <v>250</v>
      </c>
      <c r="E560">
        <v>89.99</v>
      </c>
      <c r="F560" t="s">
        <v>196</v>
      </c>
      <c r="G560">
        <v>2</v>
      </c>
      <c r="H560">
        <v>1</v>
      </c>
      <c r="I560" t="s">
        <v>489</v>
      </c>
    </row>
    <row r="561" spans="1:9" x14ac:dyDescent="0.25">
      <c r="A561">
        <v>37</v>
      </c>
      <c r="B561" t="s">
        <v>272</v>
      </c>
      <c r="D561" t="s">
        <v>189</v>
      </c>
      <c r="E561">
        <v>144.99</v>
      </c>
      <c r="F561" t="s">
        <v>196</v>
      </c>
      <c r="G561">
        <v>2</v>
      </c>
      <c r="H561">
        <v>0</v>
      </c>
      <c r="I561" t="s">
        <v>438</v>
      </c>
    </row>
    <row r="562" spans="1:9" x14ac:dyDescent="0.25">
      <c r="A562">
        <v>37</v>
      </c>
      <c r="B562" t="s">
        <v>238</v>
      </c>
      <c r="D562" t="s">
        <v>66</v>
      </c>
      <c r="E562">
        <v>269.99</v>
      </c>
      <c r="F562" t="s">
        <v>193</v>
      </c>
      <c r="G562">
        <v>2</v>
      </c>
      <c r="H562">
        <v>0</v>
      </c>
      <c r="I562" t="s">
        <v>450</v>
      </c>
    </row>
    <row r="563" spans="1:9" x14ac:dyDescent="0.25">
      <c r="A563">
        <v>37</v>
      </c>
      <c r="B563" t="s">
        <v>233</v>
      </c>
      <c r="D563" t="s">
        <v>66</v>
      </c>
      <c r="E563">
        <v>246.99</v>
      </c>
      <c r="F563" t="s">
        <v>194</v>
      </c>
      <c r="G563">
        <v>4</v>
      </c>
      <c r="H563">
        <v>0</v>
      </c>
      <c r="I563" t="s">
        <v>475</v>
      </c>
    </row>
    <row r="564" spans="1:9" x14ac:dyDescent="0.25">
      <c r="A564">
        <v>37</v>
      </c>
      <c r="B564" t="s">
        <v>232</v>
      </c>
      <c r="D564" t="s">
        <v>66</v>
      </c>
      <c r="E564">
        <v>264.99</v>
      </c>
      <c r="F564" t="s">
        <v>194</v>
      </c>
      <c r="G564">
        <v>4</v>
      </c>
      <c r="H564">
        <v>0</v>
      </c>
      <c r="I564" t="s">
        <v>314</v>
      </c>
    </row>
    <row r="565" spans="1:9" x14ac:dyDescent="0.25">
      <c r="A565">
        <v>37</v>
      </c>
      <c r="B565" t="s">
        <v>227</v>
      </c>
      <c r="D565" t="s">
        <v>189</v>
      </c>
      <c r="E565">
        <v>146.99</v>
      </c>
      <c r="F565" t="s">
        <v>194</v>
      </c>
      <c r="G565">
        <v>4</v>
      </c>
      <c r="H565">
        <v>0</v>
      </c>
      <c r="I565" t="s">
        <v>82</v>
      </c>
    </row>
    <row r="566" spans="1:9" x14ac:dyDescent="0.25">
      <c r="A566">
        <v>38</v>
      </c>
      <c r="B566" t="s">
        <v>232</v>
      </c>
      <c r="D566" t="s">
        <v>66</v>
      </c>
      <c r="E566">
        <v>265.99</v>
      </c>
      <c r="F566" t="s">
        <v>194</v>
      </c>
      <c r="G566">
        <v>4</v>
      </c>
      <c r="H566">
        <v>0</v>
      </c>
      <c r="I566" t="s">
        <v>505</v>
      </c>
    </row>
    <row r="567" spans="1:9" x14ac:dyDescent="0.25">
      <c r="A567">
        <v>38</v>
      </c>
      <c r="B567" t="s">
        <v>284</v>
      </c>
      <c r="D567" t="s">
        <v>250</v>
      </c>
      <c r="E567">
        <v>69.989999999999995</v>
      </c>
      <c r="F567" t="s">
        <v>195</v>
      </c>
      <c r="G567">
        <v>2</v>
      </c>
      <c r="H567">
        <v>0</v>
      </c>
      <c r="I567" t="s">
        <v>323</v>
      </c>
    </row>
    <row r="568" spans="1:9" x14ac:dyDescent="0.25">
      <c r="A568">
        <v>38</v>
      </c>
      <c r="B568" t="s">
        <v>230</v>
      </c>
      <c r="D568" t="s">
        <v>189</v>
      </c>
      <c r="E568">
        <v>167.99</v>
      </c>
      <c r="F568" t="s">
        <v>194</v>
      </c>
      <c r="G568">
        <v>4</v>
      </c>
      <c r="H568">
        <v>1</v>
      </c>
      <c r="I568" t="s">
        <v>85</v>
      </c>
    </row>
    <row r="569" spans="1:9" x14ac:dyDescent="0.25">
      <c r="A569">
        <v>38</v>
      </c>
      <c r="B569" t="s">
        <v>238</v>
      </c>
      <c r="D569" t="s">
        <v>66</v>
      </c>
      <c r="E569">
        <v>244.99</v>
      </c>
      <c r="F569" t="s">
        <v>193</v>
      </c>
      <c r="G569">
        <v>2</v>
      </c>
      <c r="H569">
        <v>1</v>
      </c>
      <c r="I569" t="s">
        <v>88</v>
      </c>
    </row>
    <row r="570" spans="1:9" x14ac:dyDescent="0.25">
      <c r="A570">
        <v>38</v>
      </c>
      <c r="B570" t="s">
        <v>205</v>
      </c>
      <c r="D570" t="s">
        <v>189</v>
      </c>
      <c r="E570">
        <v>147.99</v>
      </c>
      <c r="F570" t="s">
        <v>193</v>
      </c>
      <c r="G570">
        <v>2</v>
      </c>
      <c r="H570">
        <v>0</v>
      </c>
      <c r="I570" t="s">
        <v>375</v>
      </c>
    </row>
    <row r="571" spans="1:9" x14ac:dyDescent="0.25">
      <c r="A571">
        <v>38</v>
      </c>
      <c r="B571" t="s">
        <v>246</v>
      </c>
      <c r="D571" t="s">
        <v>190</v>
      </c>
      <c r="E571">
        <v>120.99</v>
      </c>
      <c r="F571" t="s">
        <v>193</v>
      </c>
      <c r="G571">
        <v>2</v>
      </c>
      <c r="H571">
        <v>0</v>
      </c>
      <c r="I571" t="s">
        <v>83</v>
      </c>
    </row>
    <row r="572" spans="1:9" x14ac:dyDescent="0.25">
      <c r="A572">
        <v>38</v>
      </c>
      <c r="B572" t="s">
        <v>276</v>
      </c>
      <c r="D572" t="s">
        <v>250</v>
      </c>
      <c r="E572">
        <v>60.99</v>
      </c>
      <c r="F572" t="s">
        <v>196</v>
      </c>
      <c r="G572">
        <v>2</v>
      </c>
      <c r="H572">
        <v>0</v>
      </c>
      <c r="I572" t="s">
        <v>310</v>
      </c>
    </row>
    <row r="573" spans="1:9" x14ac:dyDescent="0.25">
      <c r="A573">
        <v>38</v>
      </c>
      <c r="B573" t="s">
        <v>207</v>
      </c>
      <c r="D573" t="s">
        <v>190</v>
      </c>
      <c r="E573">
        <v>116.99</v>
      </c>
      <c r="F573" t="s">
        <v>193</v>
      </c>
      <c r="G573">
        <v>2</v>
      </c>
      <c r="H573">
        <v>1</v>
      </c>
      <c r="I573" t="s">
        <v>339</v>
      </c>
    </row>
    <row r="574" spans="1:9" x14ac:dyDescent="0.25">
      <c r="A574">
        <v>38</v>
      </c>
      <c r="B574" t="s">
        <v>264</v>
      </c>
      <c r="D574" t="s">
        <v>250</v>
      </c>
      <c r="E574">
        <v>71.989999999999995</v>
      </c>
      <c r="F574" t="s">
        <v>196</v>
      </c>
      <c r="G574">
        <v>2</v>
      </c>
      <c r="H574">
        <v>1</v>
      </c>
      <c r="I574" t="s">
        <v>84</v>
      </c>
    </row>
    <row r="575" spans="1:9" x14ac:dyDescent="0.25">
      <c r="A575">
        <v>38</v>
      </c>
      <c r="B575" t="s">
        <v>204</v>
      </c>
      <c r="D575" t="s">
        <v>66</v>
      </c>
      <c r="E575">
        <v>237.99</v>
      </c>
      <c r="F575" t="s">
        <v>193</v>
      </c>
      <c r="G575">
        <v>2</v>
      </c>
      <c r="H575">
        <v>0</v>
      </c>
      <c r="I575" t="s">
        <v>309</v>
      </c>
    </row>
    <row r="576" spans="1:9" x14ac:dyDescent="0.25">
      <c r="A576">
        <v>38</v>
      </c>
      <c r="B576" t="s">
        <v>242</v>
      </c>
      <c r="D576" t="s">
        <v>190</v>
      </c>
      <c r="E576">
        <v>135.99</v>
      </c>
      <c r="F576" t="s">
        <v>195</v>
      </c>
      <c r="G576">
        <v>2</v>
      </c>
      <c r="H576">
        <v>0</v>
      </c>
      <c r="I576" t="s">
        <v>291</v>
      </c>
    </row>
    <row r="577" spans="1:9" x14ac:dyDescent="0.25">
      <c r="A577">
        <v>38</v>
      </c>
      <c r="B577" t="s">
        <v>223</v>
      </c>
      <c r="D577" t="s">
        <v>189</v>
      </c>
      <c r="E577">
        <v>139.99</v>
      </c>
      <c r="F577" t="s">
        <v>195</v>
      </c>
      <c r="G577">
        <v>2</v>
      </c>
      <c r="H577">
        <v>0</v>
      </c>
      <c r="I577" t="s">
        <v>360</v>
      </c>
    </row>
    <row r="578" spans="1:9" x14ac:dyDescent="0.25">
      <c r="A578">
        <v>38</v>
      </c>
      <c r="B578" t="s">
        <v>242</v>
      </c>
      <c r="D578" t="s">
        <v>190</v>
      </c>
      <c r="E578">
        <v>125.99</v>
      </c>
      <c r="F578" t="s">
        <v>195</v>
      </c>
      <c r="G578">
        <v>2</v>
      </c>
      <c r="H578">
        <v>0</v>
      </c>
      <c r="I578" t="s">
        <v>310</v>
      </c>
    </row>
    <row r="579" spans="1:9" x14ac:dyDescent="0.25">
      <c r="A579">
        <v>39</v>
      </c>
      <c r="B579" t="s">
        <v>273</v>
      </c>
      <c r="D579" t="s">
        <v>66</v>
      </c>
      <c r="E579">
        <v>246.99</v>
      </c>
      <c r="F579" t="s">
        <v>196</v>
      </c>
      <c r="G579">
        <v>2</v>
      </c>
      <c r="H579">
        <v>1</v>
      </c>
      <c r="I579" t="s">
        <v>506</v>
      </c>
    </row>
    <row r="580" spans="1:9" x14ac:dyDescent="0.25">
      <c r="A580">
        <v>39</v>
      </c>
      <c r="B580" t="s">
        <v>224</v>
      </c>
      <c r="D580" t="s">
        <v>190</v>
      </c>
      <c r="E580">
        <v>136.99</v>
      </c>
      <c r="F580" t="s">
        <v>194</v>
      </c>
      <c r="G580">
        <v>4</v>
      </c>
      <c r="H580">
        <v>0</v>
      </c>
      <c r="I580" t="s">
        <v>83</v>
      </c>
    </row>
    <row r="581" spans="1:9" x14ac:dyDescent="0.25">
      <c r="A581">
        <v>39</v>
      </c>
      <c r="B581" t="s">
        <v>233</v>
      </c>
      <c r="D581" t="s">
        <v>66</v>
      </c>
      <c r="E581">
        <v>256.99</v>
      </c>
      <c r="F581" t="s">
        <v>194</v>
      </c>
      <c r="G581">
        <v>4</v>
      </c>
      <c r="H581">
        <v>0</v>
      </c>
      <c r="I581" t="s">
        <v>83</v>
      </c>
    </row>
    <row r="582" spans="1:9" x14ac:dyDescent="0.25">
      <c r="A582">
        <v>39</v>
      </c>
      <c r="B582" t="s">
        <v>212</v>
      </c>
      <c r="D582" t="s">
        <v>189</v>
      </c>
      <c r="E582">
        <v>145.99</v>
      </c>
      <c r="F582" t="s">
        <v>193</v>
      </c>
      <c r="G582">
        <v>2</v>
      </c>
      <c r="H582">
        <v>1</v>
      </c>
      <c r="I582" t="s">
        <v>294</v>
      </c>
    </row>
    <row r="583" spans="1:9" x14ac:dyDescent="0.25">
      <c r="A583">
        <v>39</v>
      </c>
      <c r="B583" t="s">
        <v>284</v>
      </c>
      <c r="D583" t="s">
        <v>250</v>
      </c>
      <c r="E583">
        <v>92.99</v>
      </c>
      <c r="F583" t="s">
        <v>195</v>
      </c>
      <c r="G583">
        <v>2</v>
      </c>
      <c r="H583">
        <v>1</v>
      </c>
      <c r="I583" t="s">
        <v>405</v>
      </c>
    </row>
    <row r="584" spans="1:9" x14ac:dyDescent="0.25">
      <c r="A584">
        <v>39</v>
      </c>
      <c r="B584" t="s">
        <v>254</v>
      </c>
      <c r="D584" t="s">
        <v>66</v>
      </c>
      <c r="E584">
        <v>231.99</v>
      </c>
      <c r="F584" t="s">
        <v>196</v>
      </c>
      <c r="G584">
        <v>2</v>
      </c>
      <c r="H584">
        <v>0</v>
      </c>
      <c r="I584" t="s">
        <v>87</v>
      </c>
    </row>
    <row r="585" spans="1:9" x14ac:dyDescent="0.25">
      <c r="A585">
        <v>39</v>
      </c>
      <c r="B585" t="s">
        <v>208</v>
      </c>
      <c r="D585" t="s">
        <v>190</v>
      </c>
      <c r="E585">
        <v>106.99</v>
      </c>
      <c r="F585" t="s">
        <v>194</v>
      </c>
      <c r="G585">
        <v>4</v>
      </c>
      <c r="H585">
        <v>0</v>
      </c>
      <c r="I585" t="s">
        <v>325</v>
      </c>
    </row>
    <row r="586" spans="1:9" x14ac:dyDescent="0.25">
      <c r="A586">
        <v>39</v>
      </c>
      <c r="B586" t="s">
        <v>283</v>
      </c>
      <c r="D586" t="s">
        <v>189</v>
      </c>
      <c r="E586">
        <v>147.99</v>
      </c>
      <c r="F586" t="s">
        <v>196</v>
      </c>
      <c r="G586">
        <v>2</v>
      </c>
      <c r="H586">
        <v>0</v>
      </c>
      <c r="I586" t="s">
        <v>492</v>
      </c>
    </row>
    <row r="587" spans="1:9" x14ac:dyDescent="0.25">
      <c r="A587">
        <v>39</v>
      </c>
      <c r="B587" t="s">
        <v>210</v>
      </c>
      <c r="D587" t="s">
        <v>189</v>
      </c>
      <c r="E587">
        <v>134.99</v>
      </c>
      <c r="F587" t="s">
        <v>194</v>
      </c>
      <c r="G587">
        <v>4</v>
      </c>
      <c r="H587">
        <v>1</v>
      </c>
      <c r="I587" t="s">
        <v>402</v>
      </c>
    </row>
    <row r="588" spans="1:9" x14ac:dyDescent="0.25">
      <c r="A588">
        <v>39</v>
      </c>
      <c r="B588" t="s">
        <v>273</v>
      </c>
      <c r="D588" t="s">
        <v>66</v>
      </c>
      <c r="E588">
        <v>246.99</v>
      </c>
      <c r="F588" t="s">
        <v>196</v>
      </c>
      <c r="G588">
        <v>2</v>
      </c>
      <c r="H588">
        <v>0</v>
      </c>
      <c r="I588" t="s">
        <v>507</v>
      </c>
    </row>
    <row r="589" spans="1:9" x14ac:dyDescent="0.25">
      <c r="A589">
        <v>39</v>
      </c>
      <c r="B589" t="s">
        <v>213</v>
      </c>
      <c r="D589" t="s">
        <v>190</v>
      </c>
      <c r="E589">
        <v>104.99</v>
      </c>
      <c r="F589" t="s">
        <v>195</v>
      </c>
      <c r="G589">
        <v>2</v>
      </c>
      <c r="H589">
        <v>1</v>
      </c>
      <c r="I589" t="s">
        <v>476</v>
      </c>
    </row>
    <row r="590" spans="1:9" x14ac:dyDescent="0.25">
      <c r="A590">
        <v>39</v>
      </c>
      <c r="B590" t="s">
        <v>259</v>
      </c>
      <c r="D590" t="s">
        <v>66</v>
      </c>
      <c r="E590">
        <v>257.99</v>
      </c>
      <c r="F590" t="s">
        <v>196</v>
      </c>
      <c r="G590">
        <v>2</v>
      </c>
      <c r="H590">
        <v>1</v>
      </c>
      <c r="I590" t="s">
        <v>311</v>
      </c>
    </row>
    <row r="591" spans="1:9" x14ac:dyDescent="0.25">
      <c r="A591">
        <v>39</v>
      </c>
      <c r="B591" t="s">
        <v>262</v>
      </c>
      <c r="D591" t="s">
        <v>66</v>
      </c>
      <c r="E591">
        <v>251.99</v>
      </c>
      <c r="F591" t="s">
        <v>196</v>
      </c>
      <c r="G591">
        <v>2</v>
      </c>
      <c r="H591">
        <v>0</v>
      </c>
      <c r="I591" t="s">
        <v>485</v>
      </c>
    </row>
    <row r="592" spans="1:9" x14ac:dyDescent="0.25">
      <c r="A592">
        <v>39</v>
      </c>
      <c r="B592" t="s">
        <v>209</v>
      </c>
      <c r="D592" t="s">
        <v>190</v>
      </c>
      <c r="E592">
        <v>113.99</v>
      </c>
      <c r="F592" t="s">
        <v>193</v>
      </c>
      <c r="G592">
        <v>2</v>
      </c>
      <c r="H592">
        <v>1</v>
      </c>
      <c r="I592" t="s">
        <v>88</v>
      </c>
    </row>
    <row r="593" spans="1:9" x14ac:dyDescent="0.25">
      <c r="A593">
        <v>39</v>
      </c>
      <c r="B593" t="s">
        <v>226</v>
      </c>
      <c r="D593" t="s">
        <v>189</v>
      </c>
      <c r="E593">
        <v>140.99</v>
      </c>
      <c r="F593" t="s">
        <v>195</v>
      </c>
      <c r="G593">
        <v>2</v>
      </c>
      <c r="H593">
        <v>1</v>
      </c>
      <c r="I593" t="s">
        <v>440</v>
      </c>
    </row>
    <row r="594" spans="1:9" x14ac:dyDescent="0.25">
      <c r="A594">
        <v>39</v>
      </c>
      <c r="B594" t="s">
        <v>215</v>
      </c>
      <c r="D594" t="s">
        <v>189</v>
      </c>
      <c r="E594">
        <v>133.99</v>
      </c>
      <c r="F594" t="s">
        <v>193</v>
      </c>
      <c r="G594">
        <v>2</v>
      </c>
      <c r="H594">
        <v>0</v>
      </c>
      <c r="I594" t="s">
        <v>335</v>
      </c>
    </row>
    <row r="595" spans="1:9" x14ac:dyDescent="0.25">
      <c r="A595">
        <v>39</v>
      </c>
      <c r="B595" t="s">
        <v>238</v>
      </c>
      <c r="D595" t="s">
        <v>66</v>
      </c>
      <c r="E595">
        <v>240.99</v>
      </c>
      <c r="F595" t="s">
        <v>193</v>
      </c>
      <c r="G595">
        <v>2</v>
      </c>
      <c r="H595">
        <v>1</v>
      </c>
      <c r="I595" t="s">
        <v>86</v>
      </c>
    </row>
    <row r="596" spans="1:9" x14ac:dyDescent="0.25">
      <c r="A596">
        <v>40</v>
      </c>
      <c r="B596" t="s">
        <v>215</v>
      </c>
      <c r="D596" t="s">
        <v>189</v>
      </c>
      <c r="E596">
        <v>145.99</v>
      </c>
      <c r="F596" t="s">
        <v>193</v>
      </c>
      <c r="G596">
        <v>2</v>
      </c>
      <c r="H596">
        <v>0</v>
      </c>
      <c r="I596" t="s">
        <v>86</v>
      </c>
    </row>
    <row r="597" spans="1:9" x14ac:dyDescent="0.25">
      <c r="A597">
        <v>40</v>
      </c>
      <c r="B597" t="s">
        <v>233</v>
      </c>
      <c r="D597" t="s">
        <v>66</v>
      </c>
      <c r="E597">
        <v>259.99</v>
      </c>
      <c r="F597" t="s">
        <v>194</v>
      </c>
      <c r="G597">
        <v>4</v>
      </c>
      <c r="H597">
        <v>1</v>
      </c>
      <c r="I597" t="s">
        <v>322</v>
      </c>
    </row>
    <row r="598" spans="1:9" x14ac:dyDescent="0.25">
      <c r="A598">
        <v>40</v>
      </c>
      <c r="B598" t="s">
        <v>264</v>
      </c>
      <c r="D598" t="s">
        <v>250</v>
      </c>
      <c r="E598">
        <v>93.99</v>
      </c>
      <c r="F598" t="s">
        <v>196</v>
      </c>
      <c r="G598">
        <v>2</v>
      </c>
      <c r="H598">
        <v>1</v>
      </c>
      <c r="I598" t="s">
        <v>306</v>
      </c>
    </row>
    <row r="599" spans="1:9" x14ac:dyDescent="0.25">
      <c r="A599">
        <v>40</v>
      </c>
      <c r="B599" t="s">
        <v>277</v>
      </c>
      <c r="D599" t="s">
        <v>190</v>
      </c>
      <c r="E599">
        <v>135.99</v>
      </c>
      <c r="F599" t="s">
        <v>196</v>
      </c>
      <c r="G599">
        <v>2</v>
      </c>
      <c r="H599">
        <v>1</v>
      </c>
      <c r="I599" t="s">
        <v>309</v>
      </c>
    </row>
    <row r="600" spans="1:9" x14ac:dyDescent="0.25">
      <c r="A600">
        <v>40</v>
      </c>
      <c r="B600" t="s">
        <v>274</v>
      </c>
      <c r="D600" t="s">
        <v>250</v>
      </c>
      <c r="E600">
        <v>98.99</v>
      </c>
      <c r="F600" t="s">
        <v>193</v>
      </c>
      <c r="G600">
        <v>2</v>
      </c>
      <c r="H600">
        <v>1</v>
      </c>
      <c r="I600" t="s">
        <v>83</v>
      </c>
    </row>
    <row r="601" spans="1:9" x14ac:dyDescent="0.25">
      <c r="A601">
        <v>40</v>
      </c>
      <c r="B601" t="s">
        <v>232</v>
      </c>
      <c r="D601" t="s">
        <v>66</v>
      </c>
      <c r="E601">
        <v>266.99</v>
      </c>
      <c r="F601" t="s">
        <v>194</v>
      </c>
      <c r="G601">
        <v>4</v>
      </c>
      <c r="H601">
        <v>0</v>
      </c>
      <c r="I601" t="s">
        <v>82</v>
      </c>
    </row>
    <row r="602" spans="1:9" x14ac:dyDescent="0.25">
      <c r="A602">
        <v>40</v>
      </c>
      <c r="B602" t="s">
        <v>206</v>
      </c>
      <c r="D602" t="s">
        <v>189</v>
      </c>
      <c r="E602">
        <v>140.99</v>
      </c>
      <c r="F602" t="s">
        <v>194</v>
      </c>
      <c r="G602">
        <v>4</v>
      </c>
      <c r="H602">
        <v>0</v>
      </c>
      <c r="I602" t="s">
        <v>293</v>
      </c>
    </row>
    <row r="603" spans="1:9" x14ac:dyDescent="0.25">
      <c r="A603">
        <v>40</v>
      </c>
      <c r="B603" t="s">
        <v>228</v>
      </c>
      <c r="D603" t="s">
        <v>189</v>
      </c>
      <c r="E603">
        <v>152.99</v>
      </c>
      <c r="F603" t="s">
        <v>194</v>
      </c>
      <c r="G603">
        <v>4</v>
      </c>
      <c r="H603">
        <v>1</v>
      </c>
      <c r="I603" t="s">
        <v>508</v>
      </c>
    </row>
    <row r="604" spans="1:9" x14ac:dyDescent="0.25">
      <c r="A604">
        <v>40</v>
      </c>
      <c r="B604" t="s">
        <v>278</v>
      </c>
      <c r="D604" t="s">
        <v>189</v>
      </c>
      <c r="E604">
        <v>155.99</v>
      </c>
      <c r="F604" t="s">
        <v>196</v>
      </c>
      <c r="G604">
        <v>2</v>
      </c>
      <c r="H604">
        <v>1</v>
      </c>
      <c r="I604" t="s">
        <v>342</v>
      </c>
    </row>
    <row r="605" spans="1:9" x14ac:dyDescent="0.25">
      <c r="A605">
        <v>40</v>
      </c>
      <c r="B605" t="s">
        <v>225</v>
      </c>
      <c r="D605" t="s">
        <v>190</v>
      </c>
      <c r="E605">
        <v>120.99</v>
      </c>
      <c r="F605" t="s">
        <v>195</v>
      </c>
      <c r="G605">
        <v>2</v>
      </c>
      <c r="H605">
        <v>1</v>
      </c>
      <c r="I605" t="s">
        <v>310</v>
      </c>
    </row>
    <row r="606" spans="1:9" x14ac:dyDescent="0.25">
      <c r="A606">
        <v>40</v>
      </c>
      <c r="B606" t="s">
        <v>217</v>
      </c>
      <c r="D606" t="s">
        <v>190</v>
      </c>
      <c r="E606">
        <v>114.99</v>
      </c>
      <c r="F606" t="s">
        <v>194</v>
      </c>
      <c r="G606">
        <v>4</v>
      </c>
      <c r="H606">
        <v>0</v>
      </c>
      <c r="I606" t="s">
        <v>392</v>
      </c>
    </row>
    <row r="607" spans="1:9" x14ac:dyDescent="0.25">
      <c r="A607">
        <v>41</v>
      </c>
      <c r="B607" t="s">
        <v>240</v>
      </c>
      <c r="D607" t="s">
        <v>66</v>
      </c>
      <c r="E607">
        <v>241.99</v>
      </c>
      <c r="F607" t="s">
        <v>194</v>
      </c>
      <c r="G607">
        <v>4</v>
      </c>
      <c r="H607">
        <v>0</v>
      </c>
      <c r="I607" t="s">
        <v>83</v>
      </c>
    </row>
    <row r="608" spans="1:9" x14ac:dyDescent="0.25">
      <c r="A608">
        <v>41</v>
      </c>
      <c r="B608" t="s">
        <v>219</v>
      </c>
      <c r="D608" t="s">
        <v>189</v>
      </c>
      <c r="E608">
        <v>143.99</v>
      </c>
      <c r="F608" t="s">
        <v>193</v>
      </c>
      <c r="G608">
        <v>2</v>
      </c>
      <c r="H608">
        <v>0</v>
      </c>
      <c r="I608" t="s">
        <v>87</v>
      </c>
    </row>
    <row r="609" spans="1:9" x14ac:dyDescent="0.25">
      <c r="A609">
        <v>41</v>
      </c>
      <c r="B609" t="s">
        <v>276</v>
      </c>
      <c r="D609" t="s">
        <v>250</v>
      </c>
      <c r="E609">
        <v>63.99</v>
      </c>
      <c r="F609" t="s">
        <v>196</v>
      </c>
      <c r="G609">
        <v>2</v>
      </c>
      <c r="H609">
        <v>1</v>
      </c>
      <c r="I609" t="s">
        <v>509</v>
      </c>
    </row>
    <row r="610" spans="1:9" x14ac:dyDescent="0.25">
      <c r="A610">
        <v>41</v>
      </c>
      <c r="B610" t="s">
        <v>269</v>
      </c>
      <c r="D610" t="s">
        <v>250</v>
      </c>
      <c r="E610">
        <v>74.989999999999995</v>
      </c>
      <c r="F610" t="s">
        <v>196</v>
      </c>
      <c r="G610">
        <v>2</v>
      </c>
      <c r="H610">
        <v>0</v>
      </c>
      <c r="I610" t="s">
        <v>510</v>
      </c>
    </row>
    <row r="611" spans="1:9" x14ac:dyDescent="0.25">
      <c r="A611">
        <v>41</v>
      </c>
      <c r="B611" t="s">
        <v>237</v>
      </c>
      <c r="D611" t="s">
        <v>66</v>
      </c>
      <c r="E611">
        <v>246.99</v>
      </c>
      <c r="F611" t="s">
        <v>193</v>
      </c>
      <c r="G611">
        <v>2</v>
      </c>
      <c r="H611">
        <v>0</v>
      </c>
      <c r="I611" t="s">
        <v>294</v>
      </c>
    </row>
    <row r="612" spans="1:9" x14ac:dyDescent="0.25">
      <c r="A612">
        <v>41</v>
      </c>
      <c r="B612" t="s">
        <v>231</v>
      </c>
      <c r="D612" t="s">
        <v>190</v>
      </c>
      <c r="E612">
        <v>117.99</v>
      </c>
      <c r="F612" t="s">
        <v>193</v>
      </c>
      <c r="G612">
        <v>2</v>
      </c>
      <c r="H612">
        <v>0</v>
      </c>
      <c r="I612" t="s">
        <v>375</v>
      </c>
    </row>
    <row r="613" spans="1:9" x14ac:dyDescent="0.25">
      <c r="A613">
        <v>41</v>
      </c>
      <c r="B613" t="s">
        <v>251</v>
      </c>
      <c r="D613" t="s">
        <v>189</v>
      </c>
      <c r="E613">
        <v>169.99</v>
      </c>
      <c r="F613" t="s">
        <v>196</v>
      </c>
      <c r="G613">
        <v>2</v>
      </c>
      <c r="H613">
        <v>1</v>
      </c>
      <c r="I613" t="s">
        <v>326</v>
      </c>
    </row>
    <row r="614" spans="1:9" x14ac:dyDescent="0.25">
      <c r="A614">
        <v>41</v>
      </c>
      <c r="B614" t="s">
        <v>239</v>
      </c>
      <c r="D614" t="s">
        <v>66</v>
      </c>
      <c r="E614">
        <v>250.99</v>
      </c>
      <c r="F614" t="s">
        <v>195</v>
      </c>
      <c r="G614">
        <v>2</v>
      </c>
      <c r="H614">
        <v>0</v>
      </c>
      <c r="I614" t="s">
        <v>88</v>
      </c>
    </row>
    <row r="615" spans="1:9" x14ac:dyDescent="0.25">
      <c r="A615">
        <v>41</v>
      </c>
      <c r="B615" t="s">
        <v>235</v>
      </c>
      <c r="D615" t="s">
        <v>66</v>
      </c>
      <c r="E615">
        <v>255.99</v>
      </c>
      <c r="F615" t="s">
        <v>194</v>
      </c>
      <c r="G615">
        <v>4</v>
      </c>
      <c r="H615">
        <v>1</v>
      </c>
      <c r="I615" t="s">
        <v>85</v>
      </c>
    </row>
    <row r="616" spans="1:9" x14ac:dyDescent="0.25">
      <c r="A616">
        <v>41</v>
      </c>
      <c r="B616" t="s">
        <v>224</v>
      </c>
      <c r="D616" t="s">
        <v>190</v>
      </c>
      <c r="E616">
        <v>122.99</v>
      </c>
      <c r="F616" t="s">
        <v>194</v>
      </c>
      <c r="G616">
        <v>4</v>
      </c>
      <c r="H616">
        <v>0</v>
      </c>
      <c r="I616" t="s">
        <v>82</v>
      </c>
    </row>
    <row r="617" spans="1:9" x14ac:dyDescent="0.25">
      <c r="A617">
        <v>41</v>
      </c>
      <c r="B617" t="s">
        <v>231</v>
      </c>
      <c r="D617" t="s">
        <v>190</v>
      </c>
      <c r="E617">
        <v>122.99</v>
      </c>
      <c r="F617" t="s">
        <v>193</v>
      </c>
      <c r="G617">
        <v>2</v>
      </c>
      <c r="H617">
        <v>0</v>
      </c>
      <c r="I617" t="s">
        <v>350</v>
      </c>
    </row>
    <row r="618" spans="1:9" x14ac:dyDescent="0.25">
      <c r="A618">
        <v>41</v>
      </c>
      <c r="B618" t="s">
        <v>215</v>
      </c>
      <c r="D618" t="s">
        <v>189</v>
      </c>
      <c r="E618">
        <v>132.99</v>
      </c>
      <c r="F618" t="s">
        <v>193</v>
      </c>
      <c r="G618">
        <v>2</v>
      </c>
      <c r="H618">
        <v>0</v>
      </c>
      <c r="I618" t="s">
        <v>311</v>
      </c>
    </row>
    <row r="619" spans="1:9" x14ac:dyDescent="0.25">
      <c r="A619">
        <v>41</v>
      </c>
      <c r="B619" t="s">
        <v>243</v>
      </c>
      <c r="D619" t="s">
        <v>66</v>
      </c>
      <c r="E619">
        <v>249.99</v>
      </c>
      <c r="F619" t="s">
        <v>195</v>
      </c>
      <c r="G619">
        <v>2</v>
      </c>
      <c r="H619">
        <v>1</v>
      </c>
      <c r="I619" t="s">
        <v>511</v>
      </c>
    </row>
    <row r="620" spans="1:9" x14ac:dyDescent="0.25">
      <c r="A620">
        <v>41</v>
      </c>
      <c r="B620" t="s">
        <v>203</v>
      </c>
      <c r="D620" t="s">
        <v>190</v>
      </c>
      <c r="E620">
        <v>136.99</v>
      </c>
      <c r="F620" t="s">
        <v>195</v>
      </c>
      <c r="G620">
        <v>2</v>
      </c>
      <c r="H620">
        <v>1</v>
      </c>
      <c r="I620" t="s">
        <v>87</v>
      </c>
    </row>
    <row r="621" spans="1:9" x14ac:dyDescent="0.25">
      <c r="A621">
        <v>41</v>
      </c>
      <c r="B621" t="s">
        <v>222</v>
      </c>
      <c r="D621" t="s">
        <v>189</v>
      </c>
      <c r="E621">
        <v>156.99</v>
      </c>
      <c r="F621" t="s">
        <v>195</v>
      </c>
      <c r="G621">
        <v>2</v>
      </c>
      <c r="H621">
        <v>0</v>
      </c>
      <c r="I621" t="s">
        <v>390</v>
      </c>
    </row>
    <row r="622" spans="1:9" x14ac:dyDescent="0.25">
      <c r="A622">
        <v>41</v>
      </c>
      <c r="B622" t="s">
        <v>222</v>
      </c>
      <c r="D622" t="s">
        <v>189</v>
      </c>
      <c r="E622">
        <v>162.99</v>
      </c>
      <c r="F622" t="s">
        <v>195</v>
      </c>
      <c r="G622">
        <v>2</v>
      </c>
      <c r="H622">
        <v>0</v>
      </c>
      <c r="I622" t="s">
        <v>429</v>
      </c>
    </row>
    <row r="623" spans="1:9" x14ac:dyDescent="0.25">
      <c r="A623">
        <v>41</v>
      </c>
      <c r="B623" t="s">
        <v>218</v>
      </c>
      <c r="D623" t="s">
        <v>190</v>
      </c>
      <c r="E623">
        <v>109.99</v>
      </c>
      <c r="F623" t="s">
        <v>193</v>
      </c>
      <c r="G623">
        <v>2</v>
      </c>
      <c r="H623">
        <v>0</v>
      </c>
      <c r="I623" t="s">
        <v>512</v>
      </c>
    </row>
    <row r="624" spans="1:9" x14ac:dyDescent="0.25">
      <c r="A624">
        <v>42</v>
      </c>
      <c r="B624" t="s">
        <v>283</v>
      </c>
      <c r="D624" t="s">
        <v>189</v>
      </c>
      <c r="E624">
        <v>157.99</v>
      </c>
      <c r="F624" t="s">
        <v>196</v>
      </c>
      <c r="G624">
        <v>2</v>
      </c>
      <c r="H624">
        <v>0</v>
      </c>
      <c r="I624" t="s">
        <v>311</v>
      </c>
    </row>
    <row r="625" spans="1:9" x14ac:dyDescent="0.25">
      <c r="A625">
        <v>42</v>
      </c>
      <c r="B625" t="s">
        <v>232</v>
      </c>
      <c r="D625" t="s">
        <v>66</v>
      </c>
      <c r="E625">
        <v>240.99</v>
      </c>
      <c r="F625" t="s">
        <v>194</v>
      </c>
      <c r="G625">
        <v>4</v>
      </c>
      <c r="H625">
        <v>0</v>
      </c>
      <c r="I625" t="s">
        <v>356</v>
      </c>
    </row>
    <row r="626" spans="1:9" x14ac:dyDescent="0.25">
      <c r="A626">
        <v>42</v>
      </c>
      <c r="B626" t="s">
        <v>268</v>
      </c>
      <c r="D626" t="s">
        <v>250</v>
      </c>
      <c r="E626">
        <v>80.989999999999995</v>
      </c>
      <c r="F626" t="s">
        <v>193</v>
      </c>
      <c r="G626">
        <v>2</v>
      </c>
      <c r="H626">
        <v>0</v>
      </c>
      <c r="I626" t="s">
        <v>88</v>
      </c>
    </row>
    <row r="627" spans="1:9" x14ac:dyDescent="0.25">
      <c r="A627">
        <v>42</v>
      </c>
      <c r="B627" t="s">
        <v>263</v>
      </c>
      <c r="D627" t="s">
        <v>190</v>
      </c>
      <c r="E627">
        <v>101.99</v>
      </c>
      <c r="F627" t="s">
        <v>196</v>
      </c>
      <c r="G627">
        <v>2</v>
      </c>
      <c r="H627">
        <v>0</v>
      </c>
      <c r="I627" t="s">
        <v>83</v>
      </c>
    </row>
    <row r="628" spans="1:9" x14ac:dyDescent="0.25">
      <c r="A628">
        <v>42</v>
      </c>
      <c r="B628" t="s">
        <v>218</v>
      </c>
      <c r="D628" t="s">
        <v>190</v>
      </c>
      <c r="E628">
        <v>132.99</v>
      </c>
      <c r="F628" t="s">
        <v>193</v>
      </c>
      <c r="G628">
        <v>2</v>
      </c>
      <c r="H628">
        <v>1</v>
      </c>
      <c r="I628" t="s">
        <v>342</v>
      </c>
    </row>
    <row r="629" spans="1:9" x14ac:dyDescent="0.25">
      <c r="A629">
        <v>42</v>
      </c>
      <c r="B629" t="s">
        <v>261</v>
      </c>
      <c r="D629" t="s">
        <v>250</v>
      </c>
      <c r="E629">
        <v>64.989999999999995</v>
      </c>
      <c r="F629" t="s">
        <v>194</v>
      </c>
      <c r="G629">
        <v>4</v>
      </c>
      <c r="H629">
        <v>1</v>
      </c>
      <c r="I629" t="s">
        <v>513</v>
      </c>
    </row>
    <row r="630" spans="1:9" x14ac:dyDescent="0.25">
      <c r="A630">
        <v>42</v>
      </c>
      <c r="B630" t="s">
        <v>214</v>
      </c>
      <c r="D630" t="s">
        <v>66</v>
      </c>
      <c r="E630">
        <v>264.99</v>
      </c>
      <c r="F630" t="s">
        <v>195</v>
      </c>
      <c r="G630">
        <v>2</v>
      </c>
      <c r="H630">
        <v>0</v>
      </c>
      <c r="I630" t="s">
        <v>340</v>
      </c>
    </row>
    <row r="631" spans="1:9" x14ac:dyDescent="0.25">
      <c r="A631">
        <v>42</v>
      </c>
      <c r="B631" t="s">
        <v>214</v>
      </c>
      <c r="D631" t="s">
        <v>66</v>
      </c>
      <c r="E631">
        <v>258.99</v>
      </c>
      <c r="F631" t="s">
        <v>195</v>
      </c>
      <c r="G631">
        <v>2</v>
      </c>
      <c r="H631">
        <v>1</v>
      </c>
      <c r="I631" t="s">
        <v>321</v>
      </c>
    </row>
    <row r="632" spans="1:9" x14ac:dyDescent="0.25">
      <c r="A632">
        <v>42</v>
      </c>
      <c r="B632" t="s">
        <v>219</v>
      </c>
      <c r="D632" t="s">
        <v>189</v>
      </c>
      <c r="E632">
        <v>166.99</v>
      </c>
      <c r="F632" t="s">
        <v>193</v>
      </c>
      <c r="G632">
        <v>2</v>
      </c>
      <c r="H632">
        <v>1</v>
      </c>
      <c r="I632" t="s">
        <v>364</v>
      </c>
    </row>
    <row r="633" spans="1:9" x14ac:dyDescent="0.25">
      <c r="A633">
        <v>42</v>
      </c>
      <c r="B633" t="s">
        <v>247</v>
      </c>
      <c r="D633" t="s">
        <v>190</v>
      </c>
      <c r="E633">
        <v>131.99</v>
      </c>
      <c r="F633" t="s">
        <v>194</v>
      </c>
      <c r="G633">
        <v>4</v>
      </c>
      <c r="H633">
        <v>1</v>
      </c>
      <c r="I633" t="s">
        <v>435</v>
      </c>
    </row>
    <row r="634" spans="1:9" x14ac:dyDescent="0.25">
      <c r="A634">
        <v>42</v>
      </c>
      <c r="B634" t="s">
        <v>278</v>
      </c>
      <c r="D634" t="s">
        <v>189</v>
      </c>
      <c r="E634">
        <v>168.99</v>
      </c>
      <c r="F634" t="s">
        <v>196</v>
      </c>
      <c r="G634">
        <v>2</v>
      </c>
      <c r="H634">
        <v>1</v>
      </c>
      <c r="I634" t="s">
        <v>363</v>
      </c>
    </row>
    <row r="635" spans="1:9" x14ac:dyDescent="0.25">
      <c r="A635">
        <v>42</v>
      </c>
      <c r="B635" t="s">
        <v>270</v>
      </c>
      <c r="D635" t="s">
        <v>250</v>
      </c>
      <c r="E635">
        <v>93.99</v>
      </c>
      <c r="F635" t="s">
        <v>193</v>
      </c>
      <c r="G635">
        <v>2</v>
      </c>
      <c r="H635">
        <v>0</v>
      </c>
      <c r="I635" t="s">
        <v>84</v>
      </c>
    </row>
    <row r="636" spans="1:9" x14ac:dyDescent="0.25">
      <c r="A636">
        <v>42</v>
      </c>
      <c r="B636" t="s">
        <v>271</v>
      </c>
      <c r="D636" t="s">
        <v>250</v>
      </c>
      <c r="E636">
        <v>72.989999999999995</v>
      </c>
      <c r="F636" t="s">
        <v>193</v>
      </c>
      <c r="G636">
        <v>2</v>
      </c>
      <c r="H636">
        <v>1</v>
      </c>
      <c r="I636" t="s">
        <v>306</v>
      </c>
    </row>
    <row r="637" spans="1:9" x14ac:dyDescent="0.25">
      <c r="A637">
        <v>42</v>
      </c>
      <c r="B637" t="s">
        <v>242</v>
      </c>
      <c r="D637" t="s">
        <v>190</v>
      </c>
      <c r="E637">
        <v>132.99</v>
      </c>
      <c r="F637" t="s">
        <v>195</v>
      </c>
      <c r="G637">
        <v>2</v>
      </c>
      <c r="H637">
        <v>1</v>
      </c>
      <c r="I637" t="s">
        <v>388</v>
      </c>
    </row>
    <row r="638" spans="1:9" x14ac:dyDescent="0.25">
      <c r="A638">
        <v>43</v>
      </c>
      <c r="B638" t="s">
        <v>260</v>
      </c>
      <c r="D638" t="s">
        <v>250</v>
      </c>
      <c r="E638">
        <v>67.989999999999995</v>
      </c>
      <c r="F638" t="s">
        <v>193</v>
      </c>
      <c r="G638">
        <v>2</v>
      </c>
      <c r="H638">
        <v>0</v>
      </c>
      <c r="I638" t="s">
        <v>83</v>
      </c>
    </row>
    <row r="639" spans="1:9" x14ac:dyDescent="0.25">
      <c r="A639">
        <v>43</v>
      </c>
      <c r="B639" t="s">
        <v>224</v>
      </c>
      <c r="D639" t="s">
        <v>190</v>
      </c>
      <c r="E639">
        <v>107.99</v>
      </c>
      <c r="F639" t="s">
        <v>194</v>
      </c>
      <c r="G639">
        <v>4</v>
      </c>
      <c r="H639">
        <v>0</v>
      </c>
      <c r="I639" t="s">
        <v>381</v>
      </c>
    </row>
    <row r="640" spans="1:9" x14ac:dyDescent="0.25">
      <c r="A640">
        <v>43</v>
      </c>
      <c r="B640" t="s">
        <v>268</v>
      </c>
      <c r="D640" t="s">
        <v>250</v>
      </c>
      <c r="E640">
        <v>65.989999999999995</v>
      </c>
      <c r="F640" t="s">
        <v>193</v>
      </c>
      <c r="G640">
        <v>2</v>
      </c>
      <c r="H640">
        <v>1</v>
      </c>
      <c r="I640" t="s">
        <v>310</v>
      </c>
    </row>
    <row r="641" spans="1:9" x14ac:dyDescent="0.25">
      <c r="A641">
        <v>43</v>
      </c>
      <c r="B641" t="s">
        <v>267</v>
      </c>
      <c r="D641" t="s">
        <v>250</v>
      </c>
      <c r="E641">
        <v>72.989999999999995</v>
      </c>
      <c r="F641" t="s">
        <v>194</v>
      </c>
      <c r="G641">
        <v>4</v>
      </c>
      <c r="H641">
        <v>1</v>
      </c>
      <c r="I641" t="s">
        <v>389</v>
      </c>
    </row>
    <row r="642" spans="1:9" x14ac:dyDescent="0.25">
      <c r="A642">
        <v>43</v>
      </c>
      <c r="B642" t="s">
        <v>214</v>
      </c>
      <c r="D642" t="s">
        <v>66</v>
      </c>
      <c r="E642">
        <v>252.99</v>
      </c>
      <c r="F642" t="s">
        <v>195</v>
      </c>
      <c r="G642">
        <v>2</v>
      </c>
      <c r="H642">
        <v>1</v>
      </c>
      <c r="I642" t="s">
        <v>289</v>
      </c>
    </row>
    <row r="643" spans="1:9" x14ac:dyDescent="0.25">
      <c r="A643">
        <v>43</v>
      </c>
      <c r="B643" t="s">
        <v>205</v>
      </c>
      <c r="D643" t="s">
        <v>189</v>
      </c>
      <c r="E643">
        <v>141.99</v>
      </c>
      <c r="F643" t="s">
        <v>193</v>
      </c>
      <c r="G643">
        <v>2</v>
      </c>
      <c r="H643">
        <v>0</v>
      </c>
      <c r="I643" t="s">
        <v>414</v>
      </c>
    </row>
    <row r="644" spans="1:9" x14ac:dyDescent="0.25">
      <c r="A644">
        <v>43</v>
      </c>
      <c r="B644" t="s">
        <v>273</v>
      </c>
      <c r="D644" t="s">
        <v>66</v>
      </c>
      <c r="E644">
        <v>262.99</v>
      </c>
      <c r="F644" t="s">
        <v>196</v>
      </c>
      <c r="G644">
        <v>2</v>
      </c>
      <c r="H644">
        <v>1</v>
      </c>
      <c r="I644" t="s">
        <v>82</v>
      </c>
    </row>
    <row r="645" spans="1:9" x14ac:dyDescent="0.25">
      <c r="A645">
        <v>43</v>
      </c>
      <c r="B645" t="s">
        <v>221</v>
      </c>
      <c r="D645" t="s">
        <v>66</v>
      </c>
      <c r="E645">
        <v>265.99</v>
      </c>
      <c r="F645" t="s">
        <v>195</v>
      </c>
      <c r="G645">
        <v>2</v>
      </c>
      <c r="H645">
        <v>0</v>
      </c>
      <c r="I645" t="s">
        <v>412</v>
      </c>
    </row>
    <row r="646" spans="1:9" x14ac:dyDescent="0.25">
      <c r="A646">
        <v>43</v>
      </c>
      <c r="B646" t="s">
        <v>237</v>
      </c>
      <c r="D646" t="s">
        <v>66</v>
      </c>
      <c r="E646">
        <v>268.99</v>
      </c>
      <c r="F646" t="s">
        <v>193</v>
      </c>
      <c r="G646">
        <v>2</v>
      </c>
      <c r="H646">
        <v>0</v>
      </c>
      <c r="I646" t="s">
        <v>87</v>
      </c>
    </row>
    <row r="647" spans="1:9" x14ac:dyDescent="0.25">
      <c r="A647">
        <v>43</v>
      </c>
      <c r="B647" t="s">
        <v>268</v>
      </c>
      <c r="D647" t="s">
        <v>250</v>
      </c>
      <c r="E647">
        <v>88.99</v>
      </c>
      <c r="F647" t="s">
        <v>193</v>
      </c>
      <c r="G647">
        <v>2</v>
      </c>
      <c r="H647">
        <v>1</v>
      </c>
      <c r="I647" t="s">
        <v>444</v>
      </c>
    </row>
    <row r="648" spans="1:9" x14ac:dyDescent="0.25">
      <c r="A648">
        <v>43</v>
      </c>
      <c r="B648" t="s">
        <v>213</v>
      </c>
      <c r="D648" t="s">
        <v>190</v>
      </c>
      <c r="E648">
        <v>121.99</v>
      </c>
      <c r="F648" t="s">
        <v>195</v>
      </c>
      <c r="G648">
        <v>2</v>
      </c>
      <c r="H648">
        <v>0</v>
      </c>
      <c r="I648" t="s">
        <v>514</v>
      </c>
    </row>
    <row r="649" spans="1:9" x14ac:dyDescent="0.25">
      <c r="A649">
        <v>43</v>
      </c>
      <c r="B649" t="s">
        <v>270</v>
      </c>
      <c r="D649" t="s">
        <v>250</v>
      </c>
      <c r="E649">
        <v>69.989999999999995</v>
      </c>
      <c r="F649" t="s">
        <v>193</v>
      </c>
      <c r="G649">
        <v>2</v>
      </c>
      <c r="H649">
        <v>1</v>
      </c>
      <c r="I649" t="s">
        <v>402</v>
      </c>
    </row>
    <row r="650" spans="1:9" x14ac:dyDescent="0.25">
      <c r="A650">
        <v>43</v>
      </c>
      <c r="B650" t="s">
        <v>277</v>
      </c>
      <c r="D650" t="s">
        <v>190</v>
      </c>
      <c r="E650">
        <v>105.99</v>
      </c>
      <c r="F650" t="s">
        <v>196</v>
      </c>
      <c r="G650">
        <v>2</v>
      </c>
      <c r="H650">
        <v>1</v>
      </c>
      <c r="I650" t="s">
        <v>515</v>
      </c>
    </row>
    <row r="651" spans="1:9" x14ac:dyDescent="0.25">
      <c r="A651">
        <v>43</v>
      </c>
      <c r="B651" t="s">
        <v>223</v>
      </c>
      <c r="D651" t="s">
        <v>189</v>
      </c>
      <c r="E651">
        <v>143.99</v>
      </c>
      <c r="F651" t="s">
        <v>195</v>
      </c>
      <c r="G651">
        <v>2</v>
      </c>
      <c r="H651">
        <v>1</v>
      </c>
      <c r="I651" t="s">
        <v>373</v>
      </c>
    </row>
    <row r="652" spans="1:9" x14ac:dyDescent="0.25">
      <c r="A652">
        <v>43</v>
      </c>
      <c r="B652" t="s">
        <v>204</v>
      </c>
      <c r="D652" t="s">
        <v>66</v>
      </c>
      <c r="E652">
        <v>233.99</v>
      </c>
      <c r="F652" t="s">
        <v>193</v>
      </c>
      <c r="G652">
        <v>2</v>
      </c>
      <c r="H652">
        <v>0</v>
      </c>
      <c r="I652" t="s">
        <v>516</v>
      </c>
    </row>
    <row r="653" spans="1:9" x14ac:dyDescent="0.25">
      <c r="A653">
        <v>43</v>
      </c>
      <c r="B653" t="s">
        <v>223</v>
      </c>
      <c r="D653" t="s">
        <v>189</v>
      </c>
      <c r="E653">
        <v>145.99</v>
      </c>
      <c r="F653" t="s">
        <v>195</v>
      </c>
      <c r="G653">
        <v>2</v>
      </c>
      <c r="H653">
        <v>0</v>
      </c>
      <c r="I653" t="s">
        <v>517</v>
      </c>
    </row>
    <row r="654" spans="1:9" x14ac:dyDescent="0.25">
      <c r="A654">
        <v>43</v>
      </c>
      <c r="B654" t="s">
        <v>251</v>
      </c>
      <c r="D654" t="s">
        <v>189</v>
      </c>
      <c r="E654">
        <v>156.99</v>
      </c>
      <c r="F654" t="s">
        <v>196</v>
      </c>
      <c r="G654">
        <v>2</v>
      </c>
      <c r="H654">
        <v>1</v>
      </c>
      <c r="I654" t="s">
        <v>86</v>
      </c>
    </row>
    <row r="655" spans="1:9" x14ac:dyDescent="0.25">
      <c r="A655">
        <v>43</v>
      </c>
      <c r="B655" t="s">
        <v>208</v>
      </c>
      <c r="D655" t="s">
        <v>190</v>
      </c>
      <c r="E655">
        <v>138.99</v>
      </c>
      <c r="F655" t="s">
        <v>194</v>
      </c>
      <c r="G655">
        <v>4</v>
      </c>
      <c r="H655">
        <v>1</v>
      </c>
      <c r="I655" t="s">
        <v>85</v>
      </c>
    </row>
    <row r="656" spans="1:9" x14ac:dyDescent="0.25">
      <c r="A656">
        <v>43</v>
      </c>
      <c r="B656" t="s">
        <v>261</v>
      </c>
      <c r="D656" t="s">
        <v>250</v>
      </c>
      <c r="E656">
        <v>76.989999999999995</v>
      </c>
      <c r="F656" t="s">
        <v>194</v>
      </c>
      <c r="G656">
        <v>4</v>
      </c>
      <c r="H656">
        <v>0</v>
      </c>
      <c r="I656" t="s">
        <v>480</v>
      </c>
    </row>
    <row r="657" spans="1:9" x14ac:dyDescent="0.25">
      <c r="A657">
        <v>44</v>
      </c>
      <c r="B657" t="s">
        <v>215</v>
      </c>
      <c r="D657" t="s">
        <v>189</v>
      </c>
      <c r="E657">
        <v>159.99</v>
      </c>
      <c r="F657" t="s">
        <v>193</v>
      </c>
      <c r="G657">
        <v>2</v>
      </c>
      <c r="H657">
        <v>0</v>
      </c>
      <c r="I657" t="s">
        <v>329</v>
      </c>
    </row>
    <row r="658" spans="1:9" x14ac:dyDescent="0.25">
      <c r="A658">
        <v>44</v>
      </c>
      <c r="B658" t="s">
        <v>263</v>
      </c>
      <c r="D658" t="s">
        <v>190</v>
      </c>
      <c r="E658">
        <v>104.99</v>
      </c>
      <c r="F658" t="s">
        <v>196</v>
      </c>
      <c r="G658">
        <v>2</v>
      </c>
      <c r="H658">
        <v>1</v>
      </c>
      <c r="I658" t="s">
        <v>398</v>
      </c>
    </row>
    <row r="659" spans="1:9" x14ac:dyDescent="0.25">
      <c r="A659">
        <v>44</v>
      </c>
      <c r="B659" t="s">
        <v>258</v>
      </c>
      <c r="D659" t="s">
        <v>190</v>
      </c>
      <c r="E659">
        <v>127.99</v>
      </c>
      <c r="F659" t="s">
        <v>196</v>
      </c>
      <c r="G659">
        <v>2</v>
      </c>
      <c r="H659">
        <v>1</v>
      </c>
      <c r="I659" t="s">
        <v>82</v>
      </c>
    </row>
    <row r="660" spans="1:9" x14ac:dyDescent="0.25">
      <c r="A660">
        <v>44</v>
      </c>
      <c r="B660" t="s">
        <v>217</v>
      </c>
      <c r="D660" t="s">
        <v>190</v>
      </c>
      <c r="E660">
        <v>109.99</v>
      </c>
      <c r="F660" t="s">
        <v>194</v>
      </c>
      <c r="G660">
        <v>4</v>
      </c>
      <c r="H660">
        <v>1</v>
      </c>
      <c r="I660" t="s">
        <v>518</v>
      </c>
    </row>
    <row r="661" spans="1:9" x14ac:dyDescent="0.25">
      <c r="A661">
        <v>44</v>
      </c>
      <c r="B661" t="s">
        <v>274</v>
      </c>
      <c r="D661" t="s">
        <v>250</v>
      </c>
      <c r="E661">
        <v>91.99</v>
      </c>
      <c r="F661" t="s">
        <v>193</v>
      </c>
      <c r="G661">
        <v>2</v>
      </c>
      <c r="H661">
        <v>0</v>
      </c>
      <c r="I661" t="s">
        <v>316</v>
      </c>
    </row>
    <row r="662" spans="1:9" x14ac:dyDescent="0.25">
      <c r="A662">
        <v>44</v>
      </c>
      <c r="B662" t="s">
        <v>246</v>
      </c>
      <c r="D662" t="s">
        <v>190</v>
      </c>
      <c r="E662">
        <v>135.99</v>
      </c>
      <c r="F662" t="s">
        <v>193</v>
      </c>
      <c r="G662">
        <v>2</v>
      </c>
      <c r="H662">
        <v>1</v>
      </c>
      <c r="I662" t="s">
        <v>84</v>
      </c>
    </row>
    <row r="663" spans="1:9" x14ac:dyDescent="0.25">
      <c r="A663">
        <v>44</v>
      </c>
      <c r="B663" t="s">
        <v>233</v>
      </c>
      <c r="D663" t="s">
        <v>66</v>
      </c>
      <c r="E663">
        <v>234.99</v>
      </c>
      <c r="F663" t="s">
        <v>194</v>
      </c>
      <c r="G663">
        <v>4</v>
      </c>
      <c r="H663">
        <v>0</v>
      </c>
      <c r="I663" t="s">
        <v>339</v>
      </c>
    </row>
    <row r="664" spans="1:9" x14ac:dyDescent="0.25">
      <c r="A664">
        <v>44</v>
      </c>
      <c r="B664" t="s">
        <v>255</v>
      </c>
      <c r="D664" t="s">
        <v>250</v>
      </c>
      <c r="E664">
        <v>98.99</v>
      </c>
      <c r="F664" t="s">
        <v>195</v>
      </c>
      <c r="G664">
        <v>2</v>
      </c>
      <c r="H664">
        <v>1</v>
      </c>
      <c r="I664" t="s">
        <v>302</v>
      </c>
    </row>
    <row r="665" spans="1:9" x14ac:dyDescent="0.25">
      <c r="A665">
        <v>44</v>
      </c>
      <c r="B665" t="s">
        <v>226</v>
      </c>
      <c r="D665" t="s">
        <v>189</v>
      </c>
      <c r="E665">
        <v>159.99</v>
      </c>
      <c r="F665" t="s">
        <v>195</v>
      </c>
      <c r="G665">
        <v>2</v>
      </c>
      <c r="H665">
        <v>1</v>
      </c>
      <c r="I665" t="s">
        <v>88</v>
      </c>
    </row>
    <row r="666" spans="1:9" x14ac:dyDescent="0.25">
      <c r="A666">
        <v>44</v>
      </c>
      <c r="B666" t="s">
        <v>204</v>
      </c>
      <c r="D666" t="s">
        <v>66</v>
      </c>
      <c r="E666">
        <v>258.99</v>
      </c>
      <c r="F666" t="s">
        <v>193</v>
      </c>
      <c r="G666">
        <v>2</v>
      </c>
      <c r="H666">
        <v>0</v>
      </c>
      <c r="I666" t="s">
        <v>410</v>
      </c>
    </row>
    <row r="667" spans="1:9" x14ac:dyDescent="0.25">
      <c r="A667">
        <v>44</v>
      </c>
      <c r="B667" t="s">
        <v>251</v>
      </c>
      <c r="D667" t="s">
        <v>189</v>
      </c>
      <c r="E667">
        <v>140.99</v>
      </c>
      <c r="F667" t="s">
        <v>196</v>
      </c>
      <c r="G667">
        <v>2</v>
      </c>
      <c r="H667">
        <v>0</v>
      </c>
      <c r="I667" t="s">
        <v>321</v>
      </c>
    </row>
    <row r="668" spans="1:9" x14ac:dyDescent="0.25">
      <c r="A668">
        <v>44</v>
      </c>
      <c r="B668" t="s">
        <v>253</v>
      </c>
      <c r="D668" t="s">
        <v>250</v>
      </c>
      <c r="E668">
        <v>76.989999999999995</v>
      </c>
      <c r="F668" t="s">
        <v>194</v>
      </c>
      <c r="G668">
        <v>4</v>
      </c>
      <c r="H668">
        <v>1</v>
      </c>
      <c r="I668" t="s">
        <v>319</v>
      </c>
    </row>
    <row r="669" spans="1:9" x14ac:dyDescent="0.25">
      <c r="A669">
        <v>44</v>
      </c>
      <c r="B669" t="s">
        <v>261</v>
      </c>
      <c r="D669" t="s">
        <v>250</v>
      </c>
      <c r="E669">
        <v>66.989999999999995</v>
      </c>
      <c r="F669" t="s">
        <v>194</v>
      </c>
      <c r="G669">
        <v>4</v>
      </c>
      <c r="H669">
        <v>0</v>
      </c>
      <c r="I669" t="s">
        <v>364</v>
      </c>
    </row>
    <row r="670" spans="1:9" x14ac:dyDescent="0.25">
      <c r="A670">
        <v>44</v>
      </c>
      <c r="B670" t="s">
        <v>278</v>
      </c>
      <c r="D670" t="s">
        <v>189</v>
      </c>
      <c r="E670">
        <v>140.99</v>
      </c>
      <c r="F670" t="s">
        <v>196</v>
      </c>
      <c r="G670">
        <v>2</v>
      </c>
      <c r="H670">
        <v>0</v>
      </c>
      <c r="I670" t="s">
        <v>470</v>
      </c>
    </row>
    <row r="671" spans="1:9" x14ac:dyDescent="0.25">
      <c r="A671">
        <v>45</v>
      </c>
      <c r="B671" t="s">
        <v>264</v>
      </c>
      <c r="D671" t="s">
        <v>250</v>
      </c>
      <c r="E671">
        <v>70.989999999999995</v>
      </c>
      <c r="F671" t="s">
        <v>196</v>
      </c>
      <c r="G671">
        <v>2</v>
      </c>
      <c r="H671">
        <v>0</v>
      </c>
      <c r="I671" t="s">
        <v>342</v>
      </c>
    </row>
    <row r="672" spans="1:9" x14ac:dyDescent="0.25">
      <c r="A672">
        <v>45</v>
      </c>
      <c r="B672" t="s">
        <v>210</v>
      </c>
      <c r="D672" t="s">
        <v>189</v>
      </c>
      <c r="E672">
        <v>158.99</v>
      </c>
      <c r="F672" t="s">
        <v>194</v>
      </c>
      <c r="G672">
        <v>4</v>
      </c>
      <c r="H672">
        <v>1</v>
      </c>
      <c r="I672" t="s">
        <v>84</v>
      </c>
    </row>
    <row r="673" spans="1:9" x14ac:dyDescent="0.25">
      <c r="A673">
        <v>45</v>
      </c>
      <c r="B673" t="s">
        <v>258</v>
      </c>
      <c r="D673" t="s">
        <v>190</v>
      </c>
      <c r="E673">
        <v>123.99</v>
      </c>
      <c r="F673" t="s">
        <v>196</v>
      </c>
      <c r="G673">
        <v>2</v>
      </c>
      <c r="H673">
        <v>0</v>
      </c>
      <c r="I673" t="s">
        <v>82</v>
      </c>
    </row>
    <row r="674" spans="1:9" x14ac:dyDescent="0.25">
      <c r="A674">
        <v>45</v>
      </c>
      <c r="B674" t="s">
        <v>224</v>
      </c>
      <c r="D674" t="s">
        <v>190</v>
      </c>
      <c r="E674">
        <v>100.99</v>
      </c>
      <c r="F674" t="s">
        <v>194</v>
      </c>
      <c r="G674">
        <v>4</v>
      </c>
      <c r="H674">
        <v>0</v>
      </c>
      <c r="I674" t="s">
        <v>295</v>
      </c>
    </row>
    <row r="675" spans="1:9" x14ac:dyDescent="0.25">
      <c r="A675">
        <v>45</v>
      </c>
      <c r="B675" t="s">
        <v>265</v>
      </c>
      <c r="D675" t="s">
        <v>190</v>
      </c>
      <c r="E675">
        <v>117.99</v>
      </c>
      <c r="F675" t="s">
        <v>196</v>
      </c>
      <c r="G675">
        <v>2</v>
      </c>
      <c r="H675">
        <v>1</v>
      </c>
      <c r="I675" t="s">
        <v>472</v>
      </c>
    </row>
    <row r="676" spans="1:9" x14ac:dyDescent="0.25">
      <c r="A676">
        <v>45</v>
      </c>
      <c r="B676" t="s">
        <v>207</v>
      </c>
      <c r="D676" t="s">
        <v>190</v>
      </c>
      <c r="E676">
        <v>135.99</v>
      </c>
      <c r="F676" t="s">
        <v>193</v>
      </c>
      <c r="G676">
        <v>2</v>
      </c>
      <c r="H676">
        <v>1</v>
      </c>
      <c r="I676" t="s">
        <v>311</v>
      </c>
    </row>
    <row r="677" spans="1:9" x14ac:dyDescent="0.25">
      <c r="A677">
        <v>45</v>
      </c>
      <c r="B677" t="s">
        <v>214</v>
      </c>
      <c r="D677" t="s">
        <v>66</v>
      </c>
      <c r="E677">
        <v>249.99</v>
      </c>
      <c r="F677" t="s">
        <v>195</v>
      </c>
      <c r="G677">
        <v>2</v>
      </c>
      <c r="H677">
        <v>1</v>
      </c>
      <c r="I677" t="s">
        <v>398</v>
      </c>
    </row>
    <row r="678" spans="1:9" x14ac:dyDescent="0.25">
      <c r="A678">
        <v>45</v>
      </c>
      <c r="B678" t="s">
        <v>212</v>
      </c>
      <c r="D678" t="s">
        <v>189</v>
      </c>
      <c r="E678">
        <v>145.99</v>
      </c>
      <c r="F678" t="s">
        <v>193</v>
      </c>
      <c r="G678">
        <v>2</v>
      </c>
      <c r="H678">
        <v>1</v>
      </c>
      <c r="I678" t="s">
        <v>86</v>
      </c>
    </row>
    <row r="679" spans="1:9" x14ac:dyDescent="0.25">
      <c r="A679">
        <v>45</v>
      </c>
      <c r="B679" t="s">
        <v>224</v>
      </c>
      <c r="D679" t="s">
        <v>190</v>
      </c>
      <c r="E679">
        <v>113.99</v>
      </c>
      <c r="F679" t="s">
        <v>194</v>
      </c>
      <c r="G679">
        <v>4</v>
      </c>
      <c r="H679">
        <v>0</v>
      </c>
      <c r="I679" t="s">
        <v>330</v>
      </c>
    </row>
    <row r="680" spans="1:9" x14ac:dyDescent="0.25">
      <c r="A680">
        <v>45</v>
      </c>
      <c r="B680" t="s">
        <v>224</v>
      </c>
      <c r="D680" t="s">
        <v>190</v>
      </c>
      <c r="E680">
        <v>121.99</v>
      </c>
      <c r="F680" t="s">
        <v>194</v>
      </c>
      <c r="G680">
        <v>4</v>
      </c>
      <c r="H680">
        <v>0</v>
      </c>
      <c r="I680" t="s">
        <v>83</v>
      </c>
    </row>
    <row r="681" spans="1:9" x14ac:dyDescent="0.25">
      <c r="A681">
        <v>46</v>
      </c>
      <c r="B681" t="s">
        <v>276</v>
      </c>
      <c r="D681" t="s">
        <v>250</v>
      </c>
      <c r="E681">
        <v>61.99</v>
      </c>
      <c r="F681" t="s">
        <v>196</v>
      </c>
      <c r="G681">
        <v>2</v>
      </c>
      <c r="H681">
        <v>0</v>
      </c>
      <c r="I681" t="s">
        <v>87</v>
      </c>
    </row>
    <row r="682" spans="1:9" x14ac:dyDescent="0.25">
      <c r="A682">
        <v>46</v>
      </c>
      <c r="B682" t="s">
        <v>256</v>
      </c>
      <c r="D682" t="s">
        <v>250</v>
      </c>
      <c r="E682">
        <v>85.99</v>
      </c>
      <c r="F682" t="s">
        <v>194</v>
      </c>
      <c r="G682">
        <v>4</v>
      </c>
      <c r="H682">
        <v>1</v>
      </c>
      <c r="I682" t="s">
        <v>84</v>
      </c>
    </row>
    <row r="683" spans="1:9" x14ac:dyDescent="0.25">
      <c r="A683">
        <v>46</v>
      </c>
      <c r="B683" t="s">
        <v>223</v>
      </c>
      <c r="D683" t="s">
        <v>189</v>
      </c>
      <c r="E683">
        <v>153.99</v>
      </c>
      <c r="F683" t="s">
        <v>195</v>
      </c>
      <c r="G683">
        <v>2</v>
      </c>
      <c r="H683">
        <v>1</v>
      </c>
      <c r="I683" t="s">
        <v>411</v>
      </c>
    </row>
    <row r="684" spans="1:9" x14ac:dyDescent="0.25">
      <c r="A684">
        <v>46</v>
      </c>
      <c r="B684" t="s">
        <v>255</v>
      </c>
      <c r="D684" t="s">
        <v>250</v>
      </c>
      <c r="E684">
        <v>85.99</v>
      </c>
      <c r="F684" t="s">
        <v>195</v>
      </c>
      <c r="G684">
        <v>2</v>
      </c>
      <c r="H684">
        <v>1</v>
      </c>
      <c r="I684" t="s">
        <v>313</v>
      </c>
    </row>
    <row r="685" spans="1:9" x14ac:dyDescent="0.25">
      <c r="A685">
        <v>46</v>
      </c>
      <c r="B685" t="s">
        <v>285</v>
      </c>
      <c r="D685" t="s">
        <v>250</v>
      </c>
      <c r="E685">
        <v>84.99</v>
      </c>
      <c r="F685" t="s">
        <v>196</v>
      </c>
      <c r="G685">
        <v>2</v>
      </c>
      <c r="H685">
        <v>0</v>
      </c>
      <c r="I685" t="s">
        <v>83</v>
      </c>
    </row>
    <row r="686" spans="1:9" x14ac:dyDescent="0.25">
      <c r="A686">
        <v>46</v>
      </c>
      <c r="B686" t="s">
        <v>244</v>
      </c>
      <c r="D686" t="s">
        <v>190</v>
      </c>
      <c r="E686">
        <v>118.99</v>
      </c>
      <c r="F686" t="s">
        <v>195</v>
      </c>
      <c r="G686">
        <v>2</v>
      </c>
      <c r="H686">
        <v>1</v>
      </c>
      <c r="I686" t="s">
        <v>519</v>
      </c>
    </row>
    <row r="687" spans="1:9" x14ac:dyDescent="0.25">
      <c r="A687">
        <v>46</v>
      </c>
      <c r="B687" t="s">
        <v>243</v>
      </c>
      <c r="D687" t="s">
        <v>66</v>
      </c>
      <c r="E687">
        <v>256.99</v>
      </c>
      <c r="F687" t="s">
        <v>195</v>
      </c>
      <c r="G687">
        <v>2</v>
      </c>
      <c r="H687">
        <v>1</v>
      </c>
      <c r="I687" t="s">
        <v>309</v>
      </c>
    </row>
    <row r="688" spans="1:9" x14ac:dyDescent="0.25">
      <c r="A688">
        <v>46</v>
      </c>
      <c r="B688" t="s">
        <v>208</v>
      </c>
      <c r="D688" t="s">
        <v>190</v>
      </c>
      <c r="E688">
        <v>129.99</v>
      </c>
      <c r="F688" t="s">
        <v>194</v>
      </c>
      <c r="G688">
        <v>4</v>
      </c>
      <c r="H688">
        <v>1</v>
      </c>
      <c r="I688" t="s">
        <v>83</v>
      </c>
    </row>
    <row r="689" spans="1:9" x14ac:dyDescent="0.25">
      <c r="A689">
        <v>46</v>
      </c>
      <c r="B689" t="s">
        <v>227</v>
      </c>
      <c r="D689" t="s">
        <v>189</v>
      </c>
      <c r="E689">
        <v>152.99</v>
      </c>
      <c r="F689" t="s">
        <v>194</v>
      </c>
      <c r="G689">
        <v>4</v>
      </c>
      <c r="H689">
        <v>1</v>
      </c>
      <c r="I689" t="s">
        <v>87</v>
      </c>
    </row>
    <row r="690" spans="1:9" x14ac:dyDescent="0.25">
      <c r="A690">
        <v>46</v>
      </c>
      <c r="B690" t="s">
        <v>253</v>
      </c>
      <c r="D690" t="s">
        <v>250</v>
      </c>
      <c r="E690">
        <v>80.989999999999995</v>
      </c>
      <c r="F690" t="s">
        <v>194</v>
      </c>
      <c r="G690">
        <v>4</v>
      </c>
      <c r="H690">
        <v>1</v>
      </c>
      <c r="I690" t="s">
        <v>82</v>
      </c>
    </row>
    <row r="691" spans="1:9" x14ac:dyDescent="0.25">
      <c r="A691">
        <v>46</v>
      </c>
      <c r="B691" t="s">
        <v>207</v>
      </c>
      <c r="D691" t="s">
        <v>190</v>
      </c>
      <c r="E691">
        <v>135.99</v>
      </c>
      <c r="F691" t="s">
        <v>193</v>
      </c>
      <c r="G691">
        <v>2</v>
      </c>
      <c r="H691">
        <v>1</v>
      </c>
      <c r="I691" t="s">
        <v>394</v>
      </c>
    </row>
    <row r="692" spans="1:9" x14ac:dyDescent="0.25">
      <c r="A692">
        <v>46</v>
      </c>
      <c r="B692" t="s">
        <v>262</v>
      </c>
      <c r="D692" t="s">
        <v>66</v>
      </c>
      <c r="E692">
        <v>262.99</v>
      </c>
      <c r="F692" t="s">
        <v>196</v>
      </c>
      <c r="G692">
        <v>2</v>
      </c>
      <c r="H692">
        <v>1</v>
      </c>
      <c r="I692" t="s">
        <v>304</v>
      </c>
    </row>
    <row r="693" spans="1:9" x14ac:dyDescent="0.25">
      <c r="A693">
        <v>46</v>
      </c>
      <c r="B693" t="s">
        <v>216</v>
      </c>
      <c r="D693" t="s">
        <v>190</v>
      </c>
      <c r="E693">
        <v>119.99</v>
      </c>
      <c r="F693" t="s">
        <v>194</v>
      </c>
      <c r="G693">
        <v>4</v>
      </c>
      <c r="H693">
        <v>0</v>
      </c>
      <c r="I693" t="s">
        <v>321</v>
      </c>
    </row>
    <row r="694" spans="1:9" x14ac:dyDescent="0.25">
      <c r="A694">
        <v>46</v>
      </c>
      <c r="B694" t="s">
        <v>243</v>
      </c>
      <c r="D694" t="s">
        <v>66</v>
      </c>
      <c r="E694">
        <v>245.99</v>
      </c>
      <c r="F694" t="s">
        <v>195</v>
      </c>
      <c r="G694">
        <v>2</v>
      </c>
      <c r="H694">
        <v>1</v>
      </c>
      <c r="I694" t="s">
        <v>346</v>
      </c>
    </row>
    <row r="695" spans="1:9" x14ac:dyDescent="0.25">
      <c r="A695">
        <v>46</v>
      </c>
      <c r="B695" t="s">
        <v>205</v>
      </c>
      <c r="D695" t="s">
        <v>189</v>
      </c>
      <c r="E695">
        <v>141.99</v>
      </c>
      <c r="F695" t="s">
        <v>193</v>
      </c>
      <c r="G695">
        <v>2</v>
      </c>
      <c r="H695">
        <v>1</v>
      </c>
      <c r="I695" t="s">
        <v>301</v>
      </c>
    </row>
    <row r="696" spans="1:9" x14ac:dyDescent="0.25">
      <c r="A696">
        <v>46</v>
      </c>
      <c r="B696" t="s">
        <v>229</v>
      </c>
      <c r="D696" t="s">
        <v>66</v>
      </c>
      <c r="E696">
        <v>260.99</v>
      </c>
      <c r="F696" t="s">
        <v>194</v>
      </c>
      <c r="G696">
        <v>4</v>
      </c>
      <c r="H696">
        <v>1</v>
      </c>
      <c r="I696" t="s">
        <v>83</v>
      </c>
    </row>
    <row r="697" spans="1:9" x14ac:dyDescent="0.25">
      <c r="A697">
        <v>46</v>
      </c>
      <c r="B697" t="s">
        <v>232</v>
      </c>
      <c r="D697" t="s">
        <v>66</v>
      </c>
      <c r="E697">
        <v>245.99</v>
      </c>
      <c r="F697" t="s">
        <v>194</v>
      </c>
      <c r="G697">
        <v>4</v>
      </c>
      <c r="H697">
        <v>0</v>
      </c>
      <c r="I697" t="s">
        <v>355</v>
      </c>
    </row>
    <row r="698" spans="1:9" x14ac:dyDescent="0.25">
      <c r="A698">
        <v>46</v>
      </c>
      <c r="B698" t="s">
        <v>258</v>
      </c>
      <c r="D698" t="s">
        <v>190</v>
      </c>
      <c r="E698">
        <v>119.99</v>
      </c>
      <c r="F698" t="s">
        <v>196</v>
      </c>
      <c r="G698">
        <v>2</v>
      </c>
      <c r="H698">
        <v>0</v>
      </c>
      <c r="I698" t="s">
        <v>433</v>
      </c>
    </row>
    <row r="699" spans="1:9" x14ac:dyDescent="0.25">
      <c r="A699">
        <v>46</v>
      </c>
      <c r="B699" t="s">
        <v>217</v>
      </c>
      <c r="D699" t="s">
        <v>190</v>
      </c>
      <c r="E699">
        <v>110.99</v>
      </c>
      <c r="F699" t="s">
        <v>194</v>
      </c>
      <c r="G699">
        <v>4</v>
      </c>
      <c r="H699">
        <v>1</v>
      </c>
      <c r="I699" t="s">
        <v>84</v>
      </c>
    </row>
    <row r="700" spans="1:9" x14ac:dyDescent="0.25">
      <c r="A700">
        <v>47</v>
      </c>
      <c r="B700" t="s">
        <v>217</v>
      </c>
      <c r="D700" t="s">
        <v>190</v>
      </c>
      <c r="E700">
        <v>118.99</v>
      </c>
      <c r="F700" t="s">
        <v>194</v>
      </c>
      <c r="G700">
        <v>4</v>
      </c>
      <c r="H700">
        <v>1</v>
      </c>
      <c r="I700" t="s">
        <v>85</v>
      </c>
    </row>
    <row r="701" spans="1:9" x14ac:dyDescent="0.25">
      <c r="A701">
        <v>47</v>
      </c>
      <c r="B701" t="s">
        <v>284</v>
      </c>
      <c r="D701" t="s">
        <v>250</v>
      </c>
      <c r="E701">
        <v>93.99</v>
      </c>
      <c r="F701" t="s">
        <v>195</v>
      </c>
      <c r="G701">
        <v>2</v>
      </c>
      <c r="H701">
        <v>0</v>
      </c>
      <c r="I701" t="s">
        <v>305</v>
      </c>
    </row>
    <row r="702" spans="1:9" x14ac:dyDescent="0.25">
      <c r="A702">
        <v>47</v>
      </c>
      <c r="B702" t="s">
        <v>256</v>
      </c>
      <c r="D702" t="s">
        <v>250</v>
      </c>
      <c r="E702">
        <v>78.989999999999995</v>
      </c>
      <c r="F702" t="s">
        <v>194</v>
      </c>
      <c r="G702">
        <v>4</v>
      </c>
      <c r="H702">
        <v>0</v>
      </c>
      <c r="I702" t="s">
        <v>323</v>
      </c>
    </row>
    <row r="703" spans="1:9" x14ac:dyDescent="0.25">
      <c r="A703">
        <v>47</v>
      </c>
      <c r="B703" t="s">
        <v>228</v>
      </c>
      <c r="D703" t="s">
        <v>189</v>
      </c>
      <c r="E703">
        <v>146.99</v>
      </c>
      <c r="F703" t="s">
        <v>194</v>
      </c>
      <c r="G703">
        <v>4</v>
      </c>
      <c r="H703">
        <v>0</v>
      </c>
      <c r="I703" t="s">
        <v>86</v>
      </c>
    </row>
    <row r="704" spans="1:9" x14ac:dyDescent="0.25">
      <c r="A704">
        <v>47</v>
      </c>
      <c r="B704" t="s">
        <v>251</v>
      </c>
      <c r="D704" t="s">
        <v>189</v>
      </c>
      <c r="E704">
        <v>165.99</v>
      </c>
      <c r="F704" t="s">
        <v>196</v>
      </c>
      <c r="G704">
        <v>2</v>
      </c>
      <c r="H704">
        <v>0</v>
      </c>
      <c r="I704" t="s">
        <v>467</v>
      </c>
    </row>
    <row r="705" spans="1:9" x14ac:dyDescent="0.25">
      <c r="A705">
        <v>47</v>
      </c>
      <c r="B705" t="s">
        <v>271</v>
      </c>
      <c r="D705" t="s">
        <v>250</v>
      </c>
      <c r="E705">
        <v>84.99</v>
      </c>
      <c r="F705" t="s">
        <v>193</v>
      </c>
      <c r="G705">
        <v>2</v>
      </c>
      <c r="H705">
        <v>0</v>
      </c>
      <c r="I705" t="s">
        <v>82</v>
      </c>
    </row>
    <row r="706" spans="1:9" x14ac:dyDescent="0.25">
      <c r="A706">
        <v>47</v>
      </c>
      <c r="B706" t="s">
        <v>274</v>
      </c>
      <c r="D706" t="s">
        <v>250</v>
      </c>
      <c r="E706">
        <v>92.99</v>
      </c>
      <c r="F706" t="s">
        <v>193</v>
      </c>
      <c r="G706">
        <v>2</v>
      </c>
      <c r="H706">
        <v>1</v>
      </c>
      <c r="I706" t="s">
        <v>88</v>
      </c>
    </row>
    <row r="707" spans="1:9" x14ac:dyDescent="0.25">
      <c r="A707">
        <v>47</v>
      </c>
      <c r="B707" t="s">
        <v>223</v>
      </c>
      <c r="D707" t="s">
        <v>189</v>
      </c>
      <c r="E707">
        <v>134.99</v>
      </c>
      <c r="F707" t="s">
        <v>195</v>
      </c>
      <c r="G707">
        <v>2</v>
      </c>
      <c r="H707">
        <v>0</v>
      </c>
      <c r="I707" t="s">
        <v>355</v>
      </c>
    </row>
    <row r="708" spans="1:9" x14ac:dyDescent="0.25">
      <c r="A708">
        <v>47</v>
      </c>
      <c r="B708" t="s">
        <v>232</v>
      </c>
      <c r="D708" t="s">
        <v>66</v>
      </c>
      <c r="E708">
        <v>232.99</v>
      </c>
      <c r="F708" t="s">
        <v>194</v>
      </c>
      <c r="G708">
        <v>4</v>
      </c>
      <c r="H708">
        <v>0</v>
      </c>
      <c r="I708" t="s">
        <v>86</v>
      </c>
    </row>
    <row r="709" spans="1:9" x14ac:dyDescent="0.25">
      <c r="A709">
        <v>47</v>
      </c>
      <c r="B709" t="s">
        <v>245</v>
      </c>
      <c r="D709" t="s">
        <v>189</v>
      </c>
      <c r="E709">
        <v>129.99</v>
      </c>
      <c r="F709" t="s">
        <v>195</v>
      </c>
      <c r="G709">
        <v>2</v>
      </c>
      <c r="H709">
        <v>1</v>
      </c>
      <c r="I709" t="s">
        <v>366</v>
      </c>
    </row>
    <row r="710" spans="1:9" x14ac:dyDescent="0.25">
      <c r="A710">
        <v>47</v>
      </c>
      <c r="B710" t="s">
        <v>256</v>
      </c>
      <c r="D710" t="s">
        <v>250</v>
      </c>
      <c r="E710">
        <v>98.99</v>
      </c>
      <c r="F710" t="s">
        <v>194</v>
      </c>
      <c r="G710">
        <v>4</v>
      </c>
      <c r="H710">
        <v>0</v>
      </c>
      <c r="I710" t="s">
        <v>85</v>
      </c>
    </row>
    <row r="711" spans="1:9" x14ac:dyDescent="0.25">
      <c r="A711">
        <v>48</v>
      </c>
      <c r="B711" t="s">
        <v>217</v>
      </c>
      <c r="D711" t="s">
        <v>190</v>
      </c>
      <c r="E711">
        <v>135.99</v>
      </c>
      <c r="F711" t="s">
        <v>194</v>
      </c>
      <c r="G711">
        <v>4</v>
      </c>
      <c r="H711">
        <v>1</v>
      </c>
      <c r="I711" t="s">
        <v>291</v>
      </c>
    </row>
    <row r="712" spans="1:9" x14ac:dyDescent="0.25">
      <c r="A712">
        <v>48</v>
      </c>
      <c r="B712" t="s">
        <v>247</v>
      </c>
      <c r="D712" t="s">
        <v>190</v>
      </c>
      <c r="E712">
        <v>120.99</v>
      </c>
      <c r="F712" t="s">
        <v>194</v>
      </c>
      <c r="G712">
        <v>4</v>
      </c>
      <c r="H712">
        <v>0</v>
      </c>
      <c r="I712" t="s">
        <v>457</v>
      </c>
    </row>
    <row r="713" spans="1:9" x14ac:dyDescent="0.25">
      <c r="A713">
        <v>48</v>
      </c>
      <c r="B713" t="s">
        <v>258</v>
      </c>
      <c r="D713" t="s">
        <v>190</v>
      </c>
      <c r="E713">
        <v>110.99</v>
      </c>
      <c r="F713" t="s">
        <v>196</v>
      </c>
      <c r="G713">
        <v>2</v>
      </c>
      <c r="H713">
        <v>0</v>
      </c>
      <c r="I713" t="s">
        <v>501</v>
      </c>
    </row>
    <row r="714" spans="1:9" x14ac:dyDescent="0.25">
      <c r="A714">
        <v>48</v>
      </c>
      <c r="B714" t="s">
        <v>222</v>
      </c>
      <c r="D714" t="s">
        <v>189</v>
      </c>
      <c r="E714">
        <v>158.99</v>
      </c>
      <c r="F714" t="s">
        <v>195</v>
      </c>
      <c r="G714">
        <v>2</v>
      </c>
      <c r="H714">
        <v>0</v>
      </c>
      <c r="I714" t="s">
        <v>87</v>
      </c>
    </row>
    <row r="715" spans="1:9" x14ac:dyDescent="0.25">
      <c r="A715">
        <v>48</v>
      </c>
      <c r="B715" t="s">
        <v>260</v>
      </c>
      <c r="D715" t="s">
        <v>250</v>
      </c>
      <c r="E715">
        <v>78.989999999999995</v>
      </c>
      <c r="F715" t="s">
        <v>193</v>
      </c>
      <c r="G715">
        <v>2</v>
      </c>
      <c r="H715">
        <v>0</v>
      </c>
      <c r="I715" t="s">
        <v>339</v>
      </c>
    </row>
    <row r="716" spans="1:9" x14ac:dyDescent="0.25">
      <c r="A716">
        <v>48</v>
      </c>
      <c r="B716" t="s">
        <v>209</v>
      </c>
      <c r="D716" t="s">
        <v>190</v>
      </c>
      <c r="E716">
        <v>107.99</v>
      </c>
      <c r="F716" t="s">
        <v>193</v>
      </c>
      <c r="G716">
        <v>2</v>
      </c>
      <c r="H716">
        <v>0</v>
      </c>
      <c r="I716" t="s">
        <v>83</v>
      </c>
    </row>
    <row r="717" spans="1:9" x14ac:dyDescent="0.25">
      <c r="A717">
        <v>48</v>
      </c>
      <c r="B717" t="s">
        <v>266</v>
      </c>
      <c r="D717" t="s">
        <v>190</v>
      </c>
      <c r="E717">
        <v>99.99</v>
      </c>
      <c r="F717" t="s">
        <v>196</v>
      </c>
      <c r="G717">
        <v>2</v>
      </c>
      <c r="H717">
        <v>1</v>
      </c>
      <c r="I717" t="s">
        <v>294</v>
      </c>
    </row>
    <row r="718" spans="1:9" x14ac:dyDescent="0.25">
      <c r="A718">
        <v>48</v>
      </c>
      <c r="B718" t="s">
        <v>203</v>
      </c>
      <c r="D718" t="s">
        <v>190</v>
      </c>
      <c r="E718">
        <v>132.99</v>
      </c>
      <c r="F718" t="s">
        <v>195</v>
      </c>
      <c r="G718">
        <v>2</v>
      </c>
      <c r="H718">
        <v>0</v>
      </c>
      <c r="I718" t="s">
        <v>87</v>
      </c>
    </row>
    <row r="719" spans="1:9" x14ac:dyDescent="0.25">
      <c r="A719">
        <v>48</v>
      </c>
      <c r="B719" t="s">
        <v>205</v>
      </c>
      <c r="D719" t="s">
        <v>189</v>
      </c>
      <c r="E719">
        <v>166.99</v>
      </c>
      <c r="F719" t="s">
        <v>193</v>
      </c>
      <c r="G719">
        <v>2</v>
      </c>
      <c r="H719">
        <v>0</v>
      </c>
      <c r="I719" t="s">
        <v>520</v>
      </c>
    </row>
    <row r="720" spans="1:9" x14ac:dyDescent="0.25">
      <c r="A720">
        <v>49</v>
      </c>
      <c r="B720" t="s">
        <v>231</v>
      </c>
      <c r="D720" t="s">
        <v>190</v>
      </c>
      <c r="E720">
        <v>115.99</v>
      </c>
      <c r="F720" t="s">
        <v>193</v>
      </c>
      <c r="G720">
        <v>2</v>
      </c>
      <c r="H720">
        <v>1</v>
      </c>
      <c r="I720" t="s">
        <v>314</v>
      </c>
    </row>
    <row r="721" spans="1:9" x14ac:dyDescent="0.25">
      <c r="A721">
        <v>49</v>
      </c>
      <c r="B721" t="s">
        <v>206</v>
      </c>
      <c r="D721" t="s">
        <v>189</v>
      </c>
      <c r="E721">
        <v>146.99</v>
      </c>
      <c r="F721" t="s">
        <v>194</v>
      </c>
      <c r="G721">
        <v>4</v>
      </c>
      <c r="H721">
        <v>1</v>
      </c>
      <c r="I721" t="s">
        <v>391</v>
      </c>
    </row>
    <row r="722" spans="1:9" x14ac:dyDescent="0.25">
      <c r="A722">
        <v>49</v>
      </c>
      <c r="B722" t="s">
        <v>218</v>
      </c>
      <c r="D722" t="s">
        <v>190</v>
      </c>
      <c r="E722">
        <v>115.99</v>
      </c>
      <c r="F722" t="s">
        <v>193</v>
      </c>
      <c r="G722">
        <v>2</v>
      </c>
      <c r="H722">
        <v>0</v>
      </c>
      <c r="I722" t="s">
        <v>308</v>
      </c>
    </row>
    <row r="723" spans="1:9" x14ac:dyDescent="0.25">
      <c r="A723">
        <v>49</v>
      </c>
      <c r="B723" t="s">
        <v>223</v>
      </c>
      <c r="D723" t="s">
        <v>189</v>
      </c>
      <c r="E723">
        <v>161.99</v>
      </c>
      <c r="F723" t="s">
        <v>195</v>
      </c>
      <c r="G723">
        <v>2</v>
      </c>
      <c r="H723">
        <v>1</v>
      </c>
      <c r="I723" t="s">
        <v>330</v>
      </c>
    </row>
    <row r="724" spans="1:9" x14ac:dyDescent="0.25">
      <c r="A724">
        <v>49</v>
      </c>
      <c r="B724" t="s">
        <v>220</v>
      </c>
      <c r="D724" t="s">
        <v>189</v>
      </c>
      <c r="E724">
        <v>139.99</v>
      </c>
      <c r="F724" t="s">
        <v>193</v>
      </c>
      <c r="G724">
        <v>2</v>
      </c>
      <c r="H724">
        <v>0</v>
      </c>
      <c r="I724" t="s">
        <v>337</v>
      </c>
    </row>
    <row r="725" spans="1:9" x14ac:dyDescent="0.25">
      <c r="A725">
        <v>49</v>
      </c>
      <c r="B725" t="s">
        <v>284</v>
      </c>
      <c r="D725" t="s">
        <v>250</v>
      </c>
      <c r="E725">
        <v>87.99</v>
      </c>
      <c r="F725" t="s">
        <v>195</v>
      </c>
      <c r="G725">
        <v>2</v>
      </c>
      <c r="H725">
        <v>0</v>
      </c>
      <c r="I725" t="s">
        <v>398</v>
      </c>
    </row>
    <row r="726" spans="1:9" x14ac:dyDescent="0.25">
      <c r="A726">
        <v>49</v>
      </c>
      <c r="B726" t="s">
        <v>233</v>
      </c>
      <c r="D726" t="s">
        <v>66</v>
      </c>
      <c r="E726">
        <v>252.99</v>
      </c>
      <c r="F726" t="s">
        <v>194</v>
      </c>
      <c r="G726">
        <v>4</v>
      </c>
      <c r="H726">
        <v>0</v>
      </c>
      <c r="I726" t="s">
        <v>520</v>
      </c>
    </row>
    <row r="727" spans="1:9" x14ac:dyDescent="0.25">
      <c r="A727">
        <v>49</v>
      </c>
      <c r="B727" t="s">
        <v>260</v>
      </c>
      <c r="D727" t="s">
        <v>250</v>
      </c>
      <c r="E727">
        <v>78.989999999999995</v>
      </c>
      <c r="F727" t="s">
        <v>193</v>
      </c>
      <c r="G727">
        <v>2</v>
      </c>
      <c r="H727">
        <v>1</v>
      </c>
      <c r="I727" t="s">
        <v>314</v>
      </c>
    </row>
    <row r="728" spans="1:9" x14ac:dyDescent="0.25">
      <c r="A728">
        <v>49</v>
      </c>
      <c r="B728" t="s">
        <v>217</v>
      </c>
      <c r="D728" t="s">
        <v>190</v>
      </c>
      <c r="E728">
        <v>136.99</v>
      </c>
      <c r="F728" t="s">
        <v>194</v>
      </c>
      <c r="G728">
        <v>4</v>
      </c>
      <c r="H728">
        <v>1</v>
      </c>
      <c r="I728" t="s">
        <v>319</v>
      </c>
    </row>
    <row r="729" spans="1:9" x14ac:dyDescent="0.25">
      <c r="A729">
        <v>49</v>
      </c>
      <c r="B729" t="s">
        <v>235</v>
      </c>
      <c r="D729" t="s">
        <v>66</v>
      </c>
      <c r="E729">
        <v>260.99</v>
      </c>
      <c r="F729" t="s">
        <v>194</v>
      </c>
      <c r="G729">
        <v>4</v>
      </c>
      <c r="H729">
        <v>1</v>
      </c>
      <c r="I729" t="s">
        <v>334</v>
      </c>
    </row>
    <row r="730" spans="1:9" x14ac:dyDescent="0.25">
      <c r="A730">
        <v>49</v>
      </c>
      <c r="B730" t="s">
        <v>230</v>
      </c>
      <c r="D730" t="s">
        <v>189</v>
      </c>
      <c r="E730">
        <v>149.99</v>
      </c>
      <c r="F730" t="s">
        <v>194</v>
      </c>
      <c r="G730">
        <v>4</v>
      </c>
      <c r="H730">
        <v>0</v>
      </c>
      <c r="I730" t="s">
        <v>521</v>
      </c>
    </row>
    <row r="731" spans="1:9" x14ac:dyDescent="0.25">
      <c r="A731">
        <v>49</v>
      </c>
      <c r="B731" t="s">
        <v>275</v>
      </c>
      <c r="D731" t="s">
        <v>250</v>
      </c>
      <c r="E731">
        <v>86.99</v>
      </c>
      <c r="F731" t="s">
        <v>194</v>
      </c>
      <c r="G731">
        <v>4</v>
      </c>
      <c r="H731">
        <v>1</v>
      </c>
      <c r="I731" t="s">
        <v>355</v>
      </c>
    </row>
    <row r="732" spans="1:9" x14ac:dyDescent="0.25">
      <c r="A732">
        <v>49</v>
      </c>
      <c r="B732" t="s">
        <v>278</v>
      </c>
      <c r="D732" t="s">
        <v>189</v>
      </c>
      <c r="E732">
        <v>160.99</v>
      </c>
      <c r="F732" t="s">
        <v>196</v>
      </c>
      <c r="G732">
        <v>2</v>
      </c>
      <c r="H732">
        <v>0</v>
      </c>
      <c r="I732" t="s">
        <v>305</v>
      </c>
    </row>
    <row r="733" spans="1:9" x14ac:dyDescent="0.25">
      <c r="A733">
        <v>49</v>
      </c>
      <c r="B733" t="s">
        <v>234</v>
      </c>
      <c r="D733" t="s">
        <v>66</v>
      </c>
      <c r="E733">
        <v>258.99</v>
      </c>
      <c r="F733" t="s">
        <v>195</v>
      </c>
      <c r="G733">
        <v>2</v>
      </c>
      <c r="H733">
        <v>0</v>
      </c>
      <c r="I733" t="s">
        <v>364</v>
      </c>
    </row>
    <row r="734" spans="1:9" x14ac:dyDescent="0.25">
      <c r="A734">
        <v>49</v>
      </c>
      <c r="B734" t="s">
        <v>218</v>
      </c>
      <c r="D734" t="s">
        <v>190</v>
      </c>
      <c r="E734">
        <v>99.99</v>
      </c>
      <c r="F734" t="s">
        <v>193</v>
      </c>
      <c r="G734">
        <v>2</v>
      </c>
      <c r="H734">
        <v>1</v>
      </c>
      <c r="I734" t="s">
        <v>85</v>
      </c>
    </row>
    <row r="735" spans="1:9" x14ac:dyDescent="0.25">
      <c r="A735">
        <v>49</v>
      </c>
      <c r="B735" t="s">
        <v>251</v>
      </c>
      <c r="D735" t="s">
        <v>189</v>
      </c>
      <c r="E735">
        <v>167.99</v>
      </c>
      <c r="F735" t="s">
        <v>196</v>
      </c>
      <c r="G735">
        <v>2</v>
      </c>
      <c r="H735">
        <v>0</v>
      </c>
      <c r="I735" t="s">
        <v>355</v>
      </c>
    </row>
    <row r="736" spans="1:9" x14ac:dyDescent="0.25">
      <c r="A736">
        <v>49</v>
      </c>
      <c r="B736" t="s">
        <v>230</v>
      </c>
      <c r="D736" t="s">
        <v>189</v>
      </c>
      <c r="E736">
        <v>157.99</v>
      </c>
      <c r="F736" t="s">
        <v>194</v>
      </c>
      <c r="G736">
        <v>4</v>
      </c>
      <c r="H736">
        <v>1</v>
      </c>
      <c r="I736" t="s">
        <v>437</v>
      </c>
    </row>
    <row r="737" spans="1:9" x14ac:dyDescent="0.25">
      <c r="A737">
        <v>49</v>
      </c>
      <c r="B737" t="s">
        <v>262</v>
      </c>
      <c r="D737" t="s">
        <v>66</v>
      </c>
      <c r="E737">
        <v>243.99</v>
      </c>
      <c r="F737" t="s">
        <v>196</v>
      </c>
      <c r="G737">
        <v>2</v>
      </c>
      <c r="H737">
        <v>0</v>
      </c>
      <c r="I737" t="s">
        <v>82</v>
      </c>
    </row>
    <row r="738" spans="1:9" x14ac:dyDescent="0.25">
      <c r="A738">
        <v>49</v>
      </c>
      <c r="B738" t="s">
        <v>243</v>
      </c>
      <c r="D738" t="s">
        <v>66</v>
      </c>
      <c r="E738">
        <v>261.99</v>
      </c>
      <c r="F738" t="s">
        <v>195</v>
      </c>
      <c r="G738">
        <v>2</v>
      </c>
      <c r="H738">
        <v>1</v>
      </c>
      <c r="I738" t="s">
        <v>379</v>
      </c>
    </row>
    <row r="739" spans="1:9" x14ac:dyDescent="0.25">
      <c r="A739">
        <v>49</v>
      </c>
      <c r="B739" t="s">
        <v>241</v>
      </c>
      <c r="D739" t="s">
        <v>66</v>
      </c>
      <c r="E739">
        <v>231.99</v>
      </c>
      <c r="F739" t="s">
        <v>193</v>
      </c>
      <c r="G739">
        <v>2</v>
      </c>
      <c r="H739">
        <v>0</v>
      </c>
      <c r="I739" t="s">
        <v>88</v>
      </c>
    </row>
    <row r="740" spans="1:9" x14ac:dyDescent="0.25">
      <c r="A740">
        <v>50</v>
      </c>
      <c r="B740" t="s">
        <v>235</v>
      </c>
      <c r="D740" t="s">
        <v>66</v>
      </c>
      <c r="E740">
        <v>255.99</v>
      </c>
      <c r="F740" t="s">
        <v>194</v>
      </c>
      <c r="G740">
        <v>4</v>
      </c>
      <c r="H740">
        <v>0</v>
      </c>
      <c r="I740" t="s">
        <v>88</v>
      </c>
    </row>
    <row r="741" spans="1:9" x14ac:dyDescent="0.25">
      <c r="A741">
        <v>50</v>
      </c>
      <c r="B741" t="s">
        <v>272</v>
      </c>
      <c r="D741" t="s">
        <v>189</v>
      </c>
      <c r="E741">
        <v>160.99</v>
      </c>
      <c r="F741" t="s">
        <v>196</v>
      </c>
      <c r="G741">
        <v>2</v>
      </c>
      <c r="H741">
        <v>1</v>
      </c>
      <c r="I741" t="s">
        <v>380</v>
      </c>
    </row>
    <row r="742" spans="1:9" x14ac:dyDescent="0.25">
      <c r="A742">
        <v>50</v>
      </c>
      <c r="B742" t="s">
        <v>205</v>
      </c>
      <c r="D742" t="s">
        <v>189</v>
      </c>
      <c r="E742">
        <v>152.99</v>
      </c>
      <c r="F742" t="s">
        <v>193</v>
      </c>
      <c r="G742">
        <v>2</v>
      </c>
      <c r="H742">
        <v>1</v>
      </c>
      <c r="I742" t="s">
        <v>86</v>
      </c>
    </row>
    <row r="743" spans="1:9" x14ac:dyDescent="0.25">
      <c r="A743">
        <v>50</v>
      </c>
      <c r="B743" t="s">
        <v>212</v>
      </c>
      <c r="D743" t="s">
        <v>189</v>
      </c>
      <c r="E743">
        <v>130.99</v>
      </c>
      <c r="F743" t="s">
        <v>193</v>
      </c>
      <c r="G743">
        <v>2</v>
      </c>
      <c r="H743">
        <v>0</v>
      </c>
      <c r="I743" t="s">
        <v>428</v>
      </c>
    </row>
    <row r="744" spans="1:9" x14ac:dyDescent="0.25">
      <c r="A744">
        <v>50</v>
      </c>
      <c r="B744" t="s">
        <v>235</v>
      </c>
      <c r="D744" t="s">
        <v>66</v>
      </c>
      <c r="E744">
        <v>254.99</v>
      </c>
      <c r="F744" t="s">
        <v>194</v>
      </c>
      <c r="G744">
        <v>4</v>
      </c>
      <c r="H744">
        <v>0</v>
      </c>
      <c r="I744" t="s">
        <v>412</v>
      </c>
    </row>
    <row r="745" spans="1:9" x14ac:dyDescent="0.25">
      <c r="A745">
        <v>50</v>
      </c>
      <c r="B745" t="s">
        <v>223</v>
      </c>
      <c r="D745" t="s">
        <v>189</v>
      </c>
      <c r="E745">
        <v>145.99</v>
      </c>
      <c r="F745" t="s">
        <v>195</v>
      </c>
      <c r="G745">
        <v>2</v>
      </c>
      <c r="H745">
        <v>1</v>
      </c>
      <c r="I745" t="s">
        <v>384</v>
      </c>
    </row>
    <row r="746" spans="1:9" x14ac:dyDescent="0.25">
      <c r="A746">
        <v>50</v>
      </c>
      <c r="B746" t="s">
        <v>270</v>
      </c>
      <c r="D746" t="s">
        <v>250</v>
      </c>
      <c r="E746">
        <v>64.989999999999995</v>
      </c>
      <c r="F746" t="s">
        <v>193</v>
      </c>
      <c r="G746">
        <v>2</v>
      </c>
      <c r="H746">
        <v>0</v>
      </c>
      <c r="I746" t="s">
        <v>423</v>
      </c>
    </row>
    <row r="747" spans="1:9" x14ac:dyDescent="0.25">
      <c r="A747">
        <v>50</v>
      </c>
      <c r="B747" t="s">
        <v>227</v>
      </c>
      <c r="D747" t="s">
        <v>189</v>
      </c>
      <c r="E747">
        <v>135.99</v>
      </c>
      <c r="F747" t="s">
        <v>194</v>
      </c>
      <c r="G747">
        <v>4</v>
      </c>
      <c r="H747">
        <v>0</v>
      </c>
      <c r="I747" t="s">
        <v>499</v>
      </c>
    </row>
    <row r="748" spans="1:9" x14ac:dyDescent="0.25">
      <c r="A748">
        <v>50</v>
      </c>
      <c r="B748" t="s">
        <v>276</v>
      </c>
      <c r="D748" t="s">
        <v>250</v>
      </c>
      <c r="E748">
        <v>91.99</v>
      </c>
      <c r="F748" t="s">
        <v>196</v>
      </c>
      <c r="G748">
        <v>2</v>
      </c>
      <c r="H748">
        <v>0</v>
      </c>
      <c r="I748" t="s">
        <v>434</v>
      </c>
    </row>
    <row r="749" spans="1:9" x14ac:dyDescent="0.25">
      <c r="A749">
        <v>50</v>
      </c>
      <c r="B749" t="s">
        <v>260</v>
      </c>
      <c r="D749" t="s">
        <v>250</v>
      </c>
      <c r="E749">
        <v>81.99</v>
      </c>
      <c r="F749" t="s">
        <v>193</v>
      </c>
      <c r="G749">
        <v>2</v>
      </c>
      <c r="H749">
        <v>0</v>
      </c>
      <c r="I749" t="s">
        <v>323</v>
      </c>
    </row>
    <row r="750" spans="1:9" x14ac:dyDescent="0.25">
      <c r="A750">
        <v>50</v>
      </c>
      <c r="B750" t="s">
        <v>267</v>
      </c>
      <c r="D750" t="s">
        <v>250</v>
      </c>
      <c r="E750">
        <v>86.99</v>
      </c>
      <c r="F750" t="s">
        <v>194</v>
      </c>
      <c r="G750">
        <v>4</v>
      </c>
      <c r="H750">
        <v>1</v>
      </c>
      <c r="I750" t="s">
        <v>413</v>
      </c>
    </row>
    <row r="751" spans="1:9" x14ac:dyDescent="0.25">
      <c r="A751">
        <v>50</v>
      </c>
      <c r="B751" t="s">
        <v>237</v>
      </c>
      <c r="D751" t="s">
        <v>66</v>
      </c>
      <c r="E751">
        <v>268.99</v>
      </c>
      <c r="F751" t="s">
        <v>193</v>
      </c>
      <c r="G751">
        <v>2</v>
      </c>
      <c r="H751">
        <v>1</v>
      </c>
      <c r="I751" t="s">
        <v>341</v>
      </c>
    </row>
    <row r="752" spans="1:9" x14ac:dyDescent="0.25">
      <c r="A752">
        <v>50</v>
      </c>
      <c r="B752" t="s">
        <v>256</v>
      </c>
      <c r="D752" t="s">
        <v>250</v>
      </c>
      <c r="E752">
        <v>98.99</v>
      </c>
      <c r="F752" t="s">
        <v>194</v>
      </c>
      <c r="G752">
        <v>4</v>
      </c>
      <c r="H752">
        <v>1</v>
      </c>
      <c r="I752" t="s">
        <v>85</v>
      </c>
    </row>
    <row r="753" spans="1:9" x14ac:dyDescent="0.25">
      <c r="A753">
        <v>50</v>
      </c>
      <c r="B753" t="s">
        <v>274</v>
      </c>
      <c r="D753" t="s">
        <v>250</v>
      </c>
      <c r="E753">
        <v>99.99</v>
      </c>
      <c r="F753" t="s">
        <v>193</v>
      </c>
      <c r="G753">
        <v>2</v>
      </c>
      <c r="H753">
        <v>0</v>
      </c>
      <c r="I753" t="s">
        <v>486</v>
      </c>
    </row>
    <row r="754" spans="1:9" x14ac:dyDescent="0.25">
      <c r="A754">
        <v>50</v>
      </c>
      <c r="B754" t="s">
        <v>259</v>
      </c>
      <c r="D754" t="s">
        <v>66</v>
      </c>
      <c r="E754">
        <v>229.99</v>
      </c>
      <c r="F754" t="s">
        <v>196</v>
      </c>
      <c r="G754">
        <v>2</v>
      </c>
      <c r="H754">
        <v>0</v>
      </c>
      <c r="I754" t="s">
        <v>289</v>
      </c>
    </row>
    <row r="755" spans="1:9" x14ac:dyDescent="0.25">
      <c r="A755">
        <v>50</v>
      </c>
      <c r="B755" t="s">
        <v>270</v>
      </c>
      <c r="D755" t="s">
        <v>250</v>
      </c>
      <c r="E755">
        <v>75.989999999999995</v>
      </c>
      <c r="F755" t="s">
        <v>193</v>
      </c>
      <c r="G755">
        <v>2</v>
      </c>
      <c r="H755">
        <v>1</v>
      </c>
      <c r="I755" t="s">
        <v>287</v>
      </c>
    </row>
    <row r="756" spans="1:9" x14ac:dyDescent="0.25">
      <c r="A756">
        <v>50</v>
      </c>
      <c r="B756" t="s">
        <v>235</v>
      </c>
      <c r="D756" t="s">
        <v>66</v>
      </c>
      <c r="E756">
        <v>268.99</v>
      </c>
      <c r="F756" t="s">
        <v>194</v>
      </c>
      <c r="G756">
        <v>4</v>
      </c>
      <c r="H756">
        <v>0</v>
      </c>
      <c r="I756" t="s">
        <v>87</v>
      </c>
    </row>
    <row r="757" spans="1:9" x14ac:dyDescent="0.25">
      <c r="A757">
        <v>50</v>
      </c>
      <c r="B757" t="s">
        <v>286</v>
      </c>
      <c r="D757" t="s">
        <v>250</v>
      </c>
      <c r="E757">
        <v>82.99</v>
      </c>
      <c r="F757" t="s">
        <v>195</v>
      </c>
      <c r="G757">
        <v>2</v>
      </c>
      <c r="H757">
        <v>0</v>
      </c>
      <c r="I757" t="s">
        <v>87</v>
      </c>
    </row>
    <row r="758" spans="1:9" x14ac:dyDescent="0.25">
      <c r="A758">
        <v>50</v>
      </c>
      <c r="B758" t="s">
        <v>246</v>
      </c>
      <c r="D758" t="s">
        <v>190</v>
      </c>
      <c r="E758">
        <v>114.99</v>
      </c>
      <c r="F758" t="s">
        <v>193</v>
      </c>
      <c r="G758">
        <v>2</v>
      </c>
      <c r="H758">
        <v>1</v>
      </c>
      <c r="I758" t="s">
        <v>82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
                <anchor moveWithCells="1" sizeWithCells="1">
                  <from>
                    <xdr:col>9</xdr:col>
                    <xdr:colOff>57150</xdr:colOff>
                    <xdr:row>1</xdr:row>
                    <xdr:rowOff>171450</xdr:rowOff>
                  </from>
                  <to>
                    <xdr:col>10</xdr:col>
                    <xdr:colOff>552450</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E993C-0D7C-43E9-8842-40AEC91F7B55}">
  <sheetPr codeName="Sheet3"/>
  <dimension ref="A1:I13"/>
  <sheetViews>
    <sheetView workbookViewId="0">
      <selection activeCell="K10" sqref="K10"/>
    </sheetView>
  </sheetViews>
  <sheetFormatPr defaultRowHeight="15" x14ac:dyDescent="0.25"/>
  <cols>
    <col min="1" max="1" width="14.140625" bestFit="1" customWidth="1"/>
    <col min="2" max="2" width="10.42578125" bestFit="1" customWidth="1"/>
    <col min="3" max="3" width="26.5703125" bestFit="1" customWidth="1"/>
    <col min="4" max="4" width="17" bestFit="1" customWidth="1"/>
    <col min="5" max="8" width="17" customWidth="1"/>
    <col min="9" max="9" width="17" bestFit="1" customWidth="1"/>
  </cols>
  <sheetData>
    <row r="1" spans="1:9" x14ac:dyDescent="0.25">
      <c r="A1" t="s">
        <v>63</v>
      </c>
      <c r="C1" t="s">
        <v>81</v>
      </c>
      <c r="D1" t="s">
        <v>188</v>
      </c>
      <c r="E1" t="s">
        <v>64</v>
      </c>
      <c r="F1" t="s">
        <v>192</v>
      </c>
      <c r="G1" t="s">
        <v>249</v>
      </c>
      <c r="H1" t="s">
        <v>197</v>
      </c>
      <c r="I1" t="s">
        <v>82</v>
      </c>
    </row>
    <row r="2" spans="1:9" x14ac:dyDescent="0.25">
      <c r="A2" t="s">
        <v>65</v>
      </c>
      <c r="C2" t="s">
        <v>70</v>
      </c>
      <c r="D2" t="s">
        <v>250</v>
      </c>
      <c r="E2">
        <v>79.989999999999995</v>
      </c>
      <c r="F2" t="s">
        <v>193</v>
      </c>
      <c r="G2">
        <v>2</v>
      </c>
      <c r="H2" t="s">
        <v>198</v>
      </c>
      <c r="I2" t="s">
        <v>83</v>
      </c>
    </row>
    <row r="3" spans="1:9" x14ac:dyDescent="0.25">
      <c r="A3" t="s">
        <v>66</v>
      </c>
      <c r="C3" t="s">
        <v>71</v>
      </c>
      <c r="D3" t="s">
        <v>190</v>
      </c>
      <c r="E3">
        <v>119.99</v>
      </c>
      <c r="F3" t="s">
        <v>194</v>
      </c>
      <c r="G3">
        <v>4</v>
      </c>
      <c r="H3" t="s">
        <v>200</v>
      </c>
      <c r="I3" t="s">
        <v>84</v>
      </c>
    </row>
    <row r="4" spans="1:9" x14ac:dyDescent="0.25">
      <c r="A4" t="s">
        <v>67</v>
      </c>
      <c r="C4" t="s">
        <v>75</v>
      </c>
      <c r="D4" t="s">
        <v>189</v>
      </c>
      <c r="E4">
        <v>149.99</v>
      </c>
      <c r="F4" t="s">
        <v>195</v>
      </c>
      <c r="G4">
        <v>2</v>
      </c>
      <c r="H4" t="s">
        <v>199</v>
      </c>
      <c r="I4" t="s">
        <v>85</v>
      </c>
    </row>
    <row r="5" spans="1:9" x14ac:dyDescent="0.25">
      <c r="A5" t="s">
        <v>62</v>
      </c>
      <c r="C5" t="s">
        <v>72</v>
      </c>
      <c r="D5" t="s">
        <v>66</v>
      </c>
      <c r="E5">
        <v>249.99</v>
      </c>
      <c r="F5" t="s">
        <v>196</v>
      </c>
      <c r="G5">
        <v>2</v>
      </c>
      <c r="H5" t="s">
        <v>201</v>
      </c>
      <c r="I5" t="s">
        <v>86</v>
      </c>
    </row>
    <row r="6" spans="1:9" x14ac:dyDescent="0.25">
      <c r="A6" t="s">
        <v>68</v>
      </c>
      <c r="C6" t="s">
        <v>73</v>
      </c>
      <c r="D6" t="s">
        <v>191</v>
      </c>
      <c r="E6">
        <v>199.99</v>
      </c>
      <c r="H6" t="s">
        <v>202</v>
      </c>
      <c r="I6" t="s">
        <v>87</v>
      </c>
    </row>
    <row r="7" spans="1:9" x14ac:dyDescent="0.25">
      <c r="A7" t="s">
        <v>69</v>
      </c>
      <c r="C7" t="s">
        <v>74</v>
      </c>
      <c r="I7" t="s">
        <v>88</v>
      </c>
    </row>
    <row r="8" spans="1:9" x14ac:dyDescent="0.25">
      <c r="C8" t="s">
        <v>76</v>
      </c>
      <c r="I8" t="s">
        <v>89</v>
      </c>
    </row>
    <row r="9" spans="1:9" x14ac:dyDescent="0.25">
      <c r="C9" t="s">
        <v>78</v>
      </c>
    </row>
    <row r="10" spans="1:9" x14ac:dyDescent="0.25">
      <c r="C10" t="s">
        <v>77</v>
      </c>
    </row>
    <row r="11" spans="1:9" x14ac:dyDescent="0.25">
      <c r="C11" t="s">
        <v>79</v>
      </c>
    </row>
    <row r="12" spans="1:9" x14ac:dyDescent="0.25">
      <c r="C12" t="s">
        <v>80</v>
      </c>
    </row>
    <row r="13" spans="1:9" x14ac:dyDescent="0.25">
      <c r="C13" t="s">
        <v>90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Hotels</vt:lpstr>
      <vt:lpstr>Rooms</vt:lpstr>
      <vt:lpstr>Data Sources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Carter</dc:creator>
  <cp:lastModifiedBy>Mike Carter</cp:lastModifiedBy>
  <dcterms:created xsi:type="dcterms:W3CDTF">2018-10-18T14:06:04Z</dcterms:created>
  <dcterms:modified xsi:type="dcterms:W3CDTF">2018-10-19T02:27:00Z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mcarter@microsoft.com</vt:lpwstr>
  </property>
  <property fmtid="{D5CDD505-2E9C-101B-9397-08002B2CF9AE}" pid="5" name="MSIP_Label_f42aa342-8706-4288-bd11-ebb85995028c_SetDate">
    <vt:lpwstr>2018-10-18T15:46:19.9993211Z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